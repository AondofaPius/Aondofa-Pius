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Ex4.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A1DDFB0F-AD51-4E7C-A648-FBBC1E69B7DC}" xr6:coauthVersionLast="47" xr6:coauthVersionMax="47" xr10:uidLastSave="{00000000-0000-0000-0000-000000000000}"/>
  <bookViews>
    <workbookView xWindow="-120" yWindow="-120" windowWidth="24240" windowHeight="13140" activeTab="2" xr2:uid="{00000000-000D-0000-FFFF-FFFF00000000}"/>
  </bookViews>
  <sheets>
    <sheet name="Raw" sheetId="1" r:id="rId1"/>
    <sheet name="Analysis" sheetId="2" r:id="rId2"/>
    <sheet name="Charts" sheetId="3" r:id="rId3"/>
  </sheets>
  <definedNames>
    <definedName name="_xlchart.v1.0" hidden="1">Raw!$G$3:$G$259</definedName>
    <definedName name="_xlchart.v1.1" hidden="1">Raw!$I$3:$I$259</definedName>
    <definedName name="_xlchart.v1.10" hidden="1">Analysis!$J$61:$J$64</definedName>
    <definedName name="_xlchart.v1.11" hidden="1">Analysis!$K$60</definedName>
    <definedName name="_xlchart.v1.12" hidden="1">Analysis!$K$61:$K$64</definedName>
    <definedName name="_xlchart.v1.13" hidden="1">Analysis!$L$60</definedName>
    <definedName name="_xlchart.v1.14" hidden="1">Analysis!$L$61:$L$64</definedName>
    <definedName name="_xlchart.v1.4" hidden="1">Analysis!$I$45:$I$51</definedName>
    <definedName name="_xlchart.v1.5" hidden="1">Analysis!$J$45:$J$51</definedName>
    <definedName name="_xlchart.v1.6" hidden="1">Analysis!$K$45:$K$51</definedName>
    <definedName name="_xlchart.v1.7" hidden="1">Analysis!$L$45:$L$51</definedName>
    <definedName name="_xlchart.v1.8" hidden="1">Analysis!$I$61:$I$64</definedName>
    <definedName name="_xlchart.v1.9" hidden="1">Analysis!$J$60</definedName>
    <definedName name="_xlchart.v2.2" hidden="1">Analysis!$K$30:$K$34</definedName>
    <definedName name="_xlchart.v2.3" hidden="1">Analysis!$L$30:$L$34</definedName>
    <definedName name="Slicer_City">#N/A</definedName>
    <definedName name="Slicer_Manager">#N/A</definedName>
    <definedName name="Slicer_Payment_Method">#N/A</definedName>
    <definedName name="Slicer_Product">#N/A</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0" i="2" l="1"/>
  <c r="L69" i="2"/>
  <c r="L68" i="2"/>
  <c r="L61" i="2"/>
  <c r="L62" i="2"/>
  <c r="L63" i="2"/>
  <c r="K62" i="2"/>
  <c r="K63" i="2"/>
  <c r="K61" i="2"/>
  <c r="L55" i="2"/>
  <c r="L56" i="2"/>
  <c r="L57" i="2"/>
  <c r="K56" i="2"/>
  <c r="K57" i="2"/>
  <c r="K55" i="2"/>
  <c r="L46" i="2"/>
  <c r="L47" i="2"/>
  <c r="L48" i="2"/>
  <c r="L49" i="2"/>
  <c r="L50" i="2"/>
  <c r="K47" i="2"/>
  <c r="K48" i="2"/>
  <c r="K49" i="2"/>
  <c r="K50" i="2"/>
  <c r="K46" i="2"/>
  <c r="L38" i="2"/>
  <c r="L39" i="2"/>
  <c r="L40" i="2"/>
  <c r="L41" i="2"/>
  <c r="L42" i="2"/>
  <c r="K39" i="2"/>
  <c r="K40" i="2"/>
  <c r="K41" i="2"/>
  <c r="K42" i="2"/>
  <c r="K38" i="2"/>
  <c r="L30" i="2"/>
  <c r="L31" i="2"/>
  <c r="L32" i="2"/>
  <c r="L33" i="2"/>
  <c r="L34" i="2"/>
  <c r="K31" i="2"/>
  <c r="K32" i="2"/>
  <c r="K33" i="2"/>
  <c r="K34" i="2"/>
  <c r="K30" i="2"/>
  <c r="L22" i="2"/>
  <c r="L23" i="2"/>
  <c r="L24" i="2"/>
  <c r="L25" i="2"/>
  <c r="L26" i="2"/>
  <c r="K23" i="2"/>
  <c r="K24" i="2"/>
  <c r="K25" i="2"/>
  <c r="K26" i="2"/>
  <c r="K22" i="2"/>
  <c r="L16" i="2"/>
  <c r="L17" i="2"/>
  <c r="L18" i="2"/>
  <c r="K17" i="2"/>
  <c r="K18" i="2"/>
  <c r="K16" i="2"/>
  <c r="L4" i="2"/>
  <c r="L5" i="2"/>
  <c r="L6" i="2"/>
  <c r="L7" i="2"/>
  <c r="L8" i="2"/>
  <c r="K5" i="2"/>
  <c r="K6" i="2"/>
  <c r="K7" i="2"/>
  <c r="K8" i="2"/>
  <c r="K4" i="2"/>
  <c r="K4" i="1" l="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3" i="1"/>
</calcChain>
</file>

<file path=xl/sharedStrings.xml><?xml version="1.0" encoding="utf-8"?>
<sst xmlns="http://schemas.openxmlformats.org/spreadsheetml/2006/main" count="1387" uniqueCount="54">
  <si>
    <t>Order ID</t>
  </si>
  <si>
    <t>Date</t>
  </si>
  <si>
    <t>Product</t>
  </si>
  <si>
    <t>Price</t>
  </si>
  <si>
    <t>Quantity</t>
  </si>
  <si>
    <t>Purchase Type</t>
  </si>
  <si>
    <t>Payment Method</t>
  </si>
  <si>
    <t>Manager</t>
  </si>
  <si>
    <t>City</t>
  </si>
  <si>
    <t>Fries</t>
  </si>
  <si>
    <t xml:space="preserve">Online </t>
  </si>
  <si>
    <t xml:space="preserve"> Gift Card</t>
  </si>
  <si>
    <t>London</t>
  </si>
  <si>
    <t>Beverages</t>
  </si>
  <si>
    <t>Madrid</t>
  </si>
  <si>
    <t>Sides &amp; Other</t>
  </si>
  <si>
    <t xml:space="preserve">In-store </t>
  </si>
  <si>
    <t>Lisbon</t>
  </si>
  <si>
    <t>Burgers</t>
  </si>
  <si>
    <t xml:space="preserve"> Credit Card</t>
  </si>
  <si>
    <t>Walter Muller</t>
  </si>
  <si>
    <t>Berlin</t>
  </si>
  <si>
    <t>Chicken Sandwiches</t>
  </si>
  <si>
    <t>Paris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</si>
  <si>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</si>
  <si>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</si>
  <si>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</si>
  <si>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</si>
  <si>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</si>
  <si>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</si>
  <si>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</si>
  <si>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</si>
  <si>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</si>
  <si>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</si>
  <si>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Column1</t>
  </si>
  <si>
    <t>Total revenue</t>
  </si>
  <si>
    <t>Mean</t>
  </si>
  <si>
    <t>Standard Error</t>
  </si>
  <si>
    <t>Median</t>
  </si>
  <si>
    <t>Mode</t>
  </si>
  <si>
    <t>Standard Deviation</t>
  </si>
  <si>
    <t>Sample Variance</t>
  </si>
  <si>
    <t>Kurtosis</t>
  </si>
  <si>
    <t>Skewness</t>
  </si>
  <si>
    <t>Range</t>
  </si>
  <si>
    <t>Minimum</t>
  </si>
  <si>
    <t>Maximum</t>
  </si>
  <si>
    <t>Sum</t>
  </si>
  <si>
    <t>Count</t>
  </si>
  <si>
    <t>Row Labels</t>
  </si>
  <si>
    <t>Grand Total</t>
  </si>
  <si>
    <t>Sum of Quantity</t>
  </si>
  <si>
    <t>Sum of Total revenue</t>
  </si>
  <si>
    <t>4) what product gives more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</si>
</sst>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7">
    <font>
      <sz val="12"/>
      <color theme="1"/>
      <name val="Calibri"/>
      <charset val="134"/>
      <scheme val="minor"/>
    </font>
    <font>
      <b/>
      <sz val="12"/>
      <color theme="0"/>
      <name val="Calibri"/>
      <family val="2"/>
      <scheme val="minor"/>
    </font>
    <font>
      <b/>
      <sz val="12"/>
      <color theme="1"/>
      <name val="Calibri"/>
      <family val="2"/>
      <scheme val="minor"/>
    </font>
    <font>
      <u/>
      <sz val="11"/>
      <color theme="10"/>
      <name val="Calibri"/>
      <family val="2"/>
      <scheme val="minor"/>
    </font>
    <font>
      <sz val="11"/>
      <color theme="1"/>
      <name val="Calibri"/>
      <family val="2"/>
      <scheme val="minor"/>
    </font>
    <font>
      <i/>
      <sz val="12"/>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7"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0" fontId="3" fillId="0" borderId="0" applyNumberFormat="0" applyFill="0" applyBorder="0" applyAlignment="0" applyProtection="0"/>
    <xf numFmtId="0" fontId="4" fillId="0" borderId="0"/>
  </cellStyleXfs>
  <cellXfs count="37">
    <xf numFmtId="0" fontId="0" fillId="0" borderId="0" xfId="0"/>
    <xf numFmtId="0" fontId="1" fillId="2" borderId="0" xfId="0" applyFont="1" applyFill="1" applyAlignment="1">
      <alignment horizontal="left" indent="1"/>
    </xf>
    <xf numFmtId="0" fontId="2" fillId="3" borderId="0" xfId="0" applyFont="1" applyFill="1" applyAlignment="1">
      <alignment horizontal="left" indent="1"/>
    </xf>
    <xf numFmtId="0" fontId="2" fillId="3" borderId="0" xfId="0" applyFont="1" applyFill="1"/>
    <xf numFmtId="0" fontId="0" fillId="0" borderId="0" xfId="0" applyAlignment="1">
      <alignment horizontal="left" indent="1"/>
    </xf>
    <xf numFmtId="0" fontId="2" fillId="0" borderId="0" xfId="0" applyFont="1"/>
    <xf numFmtId="0" fontId="1" fillId="2" borderId="1" xfId="0" applyFont="1" applyFill="1" applyBorder="1" applyAlignment="1">
      <alignment horizontal="center" vertical="center"/>
    </xf>
    <xf numFmtId="0" fontId="0" fillId="0" borderId="1" xfId="0" applyBorder="1" applyAlignment="1">
      <alignment horizontal="center"/>
    </xf>
    <xf numFmtId="14" fontId="0" fillId="0" borderId="1" xfId="0" applyNumberFormat="1" applyBorder="1" applyAlignment="1">
      <alignment horizontal="left"/>
    </xf>
    <xf numFmtId="0" fontId="0" fillId="0" borderId="1" xfId="0" applyBorder="1"/>
    <xf numFmtId="2" fontId="0" fillId="0" borderId="1" xfId="0" applyNumberFormat="1" applyBorder="1" applyAlignment="1">
      <alignment horizontal="center"/>
    </xf>
    <xf numFmtId="0" fontId="1" fillId="2" borderId="5" xfId="0" applyFont="1" applyFill="1" applyBorder="1" applyAlignment="1">
      <alignment horizontal="center" vertical="center"/>
    </xf>
    <xf numFmtId="2" fontId="0" fillId="0" borderId="8" xfId="0" applyNumberFormat="1" applyBorder="1" applyAlignment="1">
      <alignment horizontal="center"/>
    </xf>
    <xf numFmtId="0" fontId="0" fillId="0" borderId="6" xfId="0" applyBorder="1"/>
    <xf numFmtId="0" fontId="0" fillId="0" borderId="5" xfId="0" applyBorder="1"/>
    <xf numFmtId="0" fontId="1" fillId="2" borderId="4" xfId="0" applyFont="1" applyFill="1" applyBorder="1" applyAlignment="1">
      <alignment horizontal="center" vertical="center" wrapText="1"/>
    </xf>
    <xf numFmtId="0" fontId="0" fillId="0" borderId="10" xfId="0" applyBorder="1"/>
    <xf numFmtId="0" fontId="5" fillId="0" borderId="11" xfId="0" applyFont="1" applyBorder="1" applyAlignment="1">
      <alignment horizontal="centerContinuous"/>
    </xf>
    <xf numFmtId="0" fontId="0" fillId="0" borderId="0" xfId="0" pivotButton="1"/>
    <xf numFmtId="0" fontId="0" fillId="0" borderId="0" xfId="0" applyAlignment="1">
      <alignment horizontal="left"/>
    </xf>
    <xf numFmtId="2" fontId="0" fillId="0" borderId="0" xfId="0" applyNumberFormat="1"/>
    <xf numFmtId="0" fontId="6" fillId="0" borderId="0" xfId="0" applyFont="1"/>
    <xf numFmtId="165" fontId="0" fillId="0" borderId="3" xfId="0" applyNumberFormat="1" applyBorder="1"/>
    <xf numFmtId="165" fontId="0" fillId="0" borderId="9" xfId="0" applyNumberFormat="1" applyBorder="1"/>
    <xf numFmtId="164" fontId="0" fillId="0" borderId="2" xfId="0" applyNumberFormat="1" applyBorder="1" applyAlignment="1">
      <alignment horizontal="center"/>
    </xf>
    <xf numFmtId="164" fontId="0" fillId="0" borderId="7" xfId="0" applyNumberFormat="1" applyBorder="1" applyAlignment="1">
      <alignment horizontal="center"/>
    </xf>
    <xf numFmtId="0" fontId="0" fillId="4" borderId="0" xfId="0" applyFill="1"/>
    <xf numFmtId="164"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cellXfs>
  <cellStyles count="3">
    <cellStyle name="Hyperlink 2 2" xfId="1" xr:uid="{00000000-0005-0000-0000-000031000000}"/>
    <cellStyle name="Normal" xfId="0" builtinId="0"/>
    <cellStyle name="Normal 2" xfId="2" xr:uid="{00000000-0005-0000-0000-000032000000}"/>
  </cellStyles>
  <dxfs count="24">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5" formatCode="&quot;$&quot;#,##0"/>
      <border diagonalUp="0" diagonalDown="0">
        <left style="thin">
          <color indexed="64"/>
        </left>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0"/>
        <name val="Calibri"/>
        <charset val="134"/>
        <scheme val="minor"/>
      </font>
      <fill>
        <patternFill patternType="solid">
          <fgColor indexed="64"/>
          <bgColor rgb="FF07367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gradientFill degree="90">
          <stop position="0">
            <color theme="0"/>
          </stop>
          <stop position="1">
            <color theme="4"/>
          </stop>
        </gradientFill>
      </fill>
    </dxf>
  </dxfs>
  <tableStyles count="3" defaultTableStyle="TableStyleMedium2" defaultPivotStyle="PivotStyleLight16">
    <tableStyle name="Slicer Style 1" pivot="0" table="0" count="0" xr9:uid="{4A9363E8-2D7D-4AD9-8E6F-13B44C178800}"/>
    <tableStyle name="Slicer Style 2" pivot="0" table="0" count="1" xr9:uid="{862DD99C-3956-47C9-A882-E98ADB072197}"/>
    <tableStyle name="Slicer Style 3" pivot="0" table="0" count="1" xr9:uid="{B252A5FF-D41A-42D8-AD11-B44691133B27}">
      <tableStyleElement type="wholeTable" dxfId="23"/>
    </tableStyle>
  </tableStyles>
  <colors>
    <mruColors>
      <color rgb="FFFF6600"/>
    </mruColors>
  </colors>
  <extLst>
    <ext xmlns:x14="http://schemas.microsoft.com/office/spreadsheetml/2009/9/main" uri="{46F421CA-312F-682f-3DD2-61675219B42D}">
      <x14:dxfs count="1">
        <dxf>
          <fill>
            <patternFill>
              <bgColor theme="7"/>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hoveredSelectedItemWithData" dxfId="0"/>
          </x14:slicerStyleElements>
        </x14:slicerStyle>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r>
              <a:rPr lang="en-US">
                <a:solidFill>
                  <a:sysClr val="windowText" lastClr="000000"/>
                </a:solidFill>
              </a:rPr>
              <a:t>Total</a:t>
            </a:r>
            <a:r>
              <a:rPr lang="en-US" baseline="0">
                <a:solidFill>
                  <a:sysClr val="windowText" lastClr="000000"/>
                </a:solidFill>
              </a:rPr>
              <a:t> Quantity per Product</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4590113735783029"/>
          <c:y val="0.12277427821522308"/>
          <c:w val="0.61192424964248004"/>
          <c:h val="0.79730675853018373"/>
        </c:manualLayout>
      </c:layout>
      <c:barChart>
        <c:barDir val="bar"/>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Analysis!$K$4:$K$8</c:f>
              <c:strCache>
                <c:ptCount val="5"/>
                <c:pt idx="0">
                  <c:v>Beverages</c:v>
                </c:pt>
                <c:pt idx="1">
                  <c:v>Fries</c:v>
                </c:pt>
                <c:pt idx="2">
                  <c:v>Burgers</c:v>
                </c:pt>
                <c:pt idx="3">
                  <c:v>Chicken Sandwiches</c:v>
                </c:pt>
                <c:pt idx="4">
                  <c:v>Sides &amp; Other</c:v>
                </c:pt>
              </c:strCache>
            </c:strRef>
          </c:cat>
          <c:val>
            <c:numRef>
              <c:f>Analysis!$L$4:$L$8</c:f>
              <c:numCache>
                <c:formatCode>General</c:formatCode>
                <c:ptCount val="5"/>
                <c:pt idx="0">
                  <c:v>35666</c:v>
                </c:pt>
                <c:pt idx="1">
                  <c:v>32067</c:v>
                </c:pt>
                <c:pt idx="2">
                  <c:v>29572</c:v>
                </c:pt>
                <c:pt idx="3">
                  <c:v>11184</c:v>
                </c:pt>
                <c:pt idx="4">
                  <c:v>10050</c:v>
                </c:pt>
              </c:numCache>
            </c:numRef>
          </c:val>
          <c:extLst>
            <c:ext xmlns:c16="http://schemas.microsoft.com/office/drawing/2014/chart" uri="{C3380CC4-5D6E-409C-BE32-E72D297353CC}">
              <c16:uniqueId val="{00000000-9E97-4A0A-80A9-0D6932EB4CAD}"/>
            </c:ext>
          </c:extLst>
        </c:ser>
        <c:dLbls>
          <c:dLblPos val="outEnd"/>
          <c:showLegendKey val="0"/>
          <c:showVal val="1"/>
          <c:showCatName val="0"/>
          <c:showSerName val="0"/>
          <c:showPercent val="0"/>
          <c:showBubbleSize val="0"/>
        </c:dLbls>
        <c:gapWidth val="269"/>
        <c:overlap val="-20"/>
        <c:axId val="1913230720"/>
        <c:axId val="1913210080"/>
      </c:barChart>
      <c:catAx>
        <c:axId val="1913230720"/>
        <c:scaling>
          <c:orientation val="minMax"/>
        </c:scaling>
        <c:delete val="0"/>
        <c:axPos val="l"/>
        <c:numFmt formatCode="General" sourceLinked="1"/>
        <c:majorTickMark val="none"/>
        <c:minorTickMark val="none"/>
        <c:tickLblPos val="nextTo"/>
        <c:spPr>
          <a:noFill/>
          <a:ln w="3175" cap="flat" cmpd="sng" algn="ctr">
            <a:solidFill>
              <a:schemeClr val="tx1"/>
            </a:solidFill>
            <a:round/>
          </a:ln>
          <a:effectLst/>
        </c:spPr>
        <c:txPr>
          <a:bodyPr rot="-60000000" spcFirstLastPara="1" vertOverflow="ellipsis" vert="horz" wrap="square" anchor="ctr" anchorCtr="1"/>
          <a:lstStyle/>
          <a:p>
            <a:pPr>
              <a:defRPr sz="800" b="1" i="0" u="none" strike="noStrike" kern="1200" cap="all" spc="150" normalizeH="0" baseline="0">
                <a:solidFill>
                  <a:sysClr val="windowText" lastClr="000000"/>
                </a:solidFill>
                <a:latin typeface="+mn-lt"/>
                <a:ea typeface="+mn-ea"/>
                <a:cs typeface="+mn-cs"/>
              </a:defRPr>
            </a:pPr>
            <a:endParaRPr lang="en-US"/>
          </a:p>
        </c:txPr>
        <c:crossAx val="1913210080"/>
        <c:crosses val="autoZero"/>
        <c:auto val="1"/>
        <c:lblAlgn val="ctr"/>
        <c:lblOffset val="100"/>
        <c:noMultiLvlLbl val="0"/>
      </c:catAx>
      <c:valAx>
        <c:axId val="19132100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13230720"/>
        <c:crosses val="autoZero"/>
        <c:crossBetween val="between"/>
      </c:valAx>
      <c:spPr>
        <a:solidFill>
          <a:schemeClr val="accent4">
            <a:lumMod val="60000"/>
            <a:lumOff val="40000"/>
          </a:schemeClr>
        </a:solidFill>
        <a:ln>
          <a:noFill/>
        </a:ln>
        <a:effectLst/>
      </c:spPr>
    </c:plotArea>
    <c:plotVisOnly val="1"/>
    <c:dispBlanksAs val="gap"/>
    <c:showDLblsOverMax val="0"/>
  </c:chart>
  <c:spPr>
    <a:solidFill>
      <a:schemeClr val="accent4">
        <a:lumMod val="60000"/>
        <a:lumOff val="4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per Payment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lumMod val="60000"/>
                <a:lumOff val="4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Analysis!$K$16:$K$18</c:f>
              <c:strCache>
                <c:ptCount val="3"/>
                <c:pt idx="0">
                  <c:v> Cash</c:v>
                </c:pt>
                <c:pt idx="1">
                  <c:v> Credit Card</c:v>
                </c:pt>
                <c:pt idx="2">
                  <c:v> Gift Card</c:v>
                </c:pt>
              </c:strCache>
            </c:strRef>
          </c:cat>
          <c:val>
            <c:numRef>
              <c:f>Analysis!$L$16:$L$18</c:f>
              <c:numCache>
                <c:formatCode>"$"#,##0.00</c:formatCode>
                <c:ptCount val="3"/>
                <c:pt idx="0">
                  <c:v>239494.15</c:v>
                </c:pt>
                <c:pt idx="1">
                  <c:v>403812.85000000003</c:v>
                </c:pt>
                <c:pt idx="2">
                  <c:v>168828.13000000003</c:v>
                </c:pt>
              </c:numCache>
            </c:numRef>
          </c:val>
          <c:extLst>
            <c:ext xmlns:c16="http://schemas.microsoft.com/office/drawing/2014/chart" uri="{C3380CC4-5D6E-409C-BE32-E72D297353CC}">
              <c16:uniqueId val="{00000000-8FCB-41C0-8EA9-7836939DC5EB}"/>
            </c:ext>
          </c:extLst>
        </c:ser>
        <c:dLbls>
          <c:dLblPos val="inEnd"/>
          <c:showLegendKey val="0"/>
          <c:showVal val="1"/>
          <c:showCatName val="0"/>
          <c:showSerName val="0"/>
          <c:showPercent val="0"/>
          <c:showBubbleSize val="0"/>
        </c:dLbls>
        <c:gapWidth val="65"/>
        <c:axId val="2010021680"/>
        <c:axId val="2010010640"/>
      </c:barChart>
      <c:catAx>
        <c:axId val="201002168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2010010640"/>
        <c:crosses val="autoZero"/>
        <c:auto val="1"/>
        <c:lblAlgn val="ctr"/>
        <c:lblOffset val="100"/>
        <c:noMultiLvlLbl val="0"/>
      </c:catAx>
      <c:valAx>
        <c:axId val="201001064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2010021680"/>
        <c:crosses val="autoZero"/>
        <c:crossBetween val="between"/>
      </c:valAx>
      <c:spPr>
        <a:noFill/>
        <a:ln>
          <a:noFill/>
        </a:ln>
        <a:effectLst/>
      </c:spPr>
    </c:plotArea>
    <c:plotVisOnly val="1"/>
    <c:dispBlanksAs val="gap"/>
    <c:showDLblsOverMax val="0"/>
  </c:chart>
  <c:spPr>
    <a:solidFill>
      <a:schemeClr val="accent2"/>
    </a:solidFill>
    <a:ln w="9525" cap="flat" cmpd="sng" algn="ctr">
      <a:solidFill>
        <a:schemeClr val="dk1">
          <a:lumMod val="25000"/>
          <a:lumOff val="75000"/>
        </a:schemeClr>
      </a:solidFill>
      <a:round/>
    </a:ln>
    <a:effectLst/>
  </c:spPr>
  <c:txPr>
    <a:bodyPr/>
    <a:lstStyle/>
    <a:p>
      <a:pPr>
        <a:defRPr b="1"/>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Revenue per Product</a:t>
            </a:r>
            <a:endParaRPr lang="en-US"/>
          </a:p>
        </c:rich>
      </c:tx>
      <c:layout>
        <c:manualLayout>
          <c:xMode val="edge"/>
          <c:yMode val="edge"/>
          <c:x val="0.24373348376859233"/>
          <c:y val="2.455870077382468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8F1-4956-888B-2DF0B91A04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8F1-4956-888B-2DF0B91A04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8F1-4956-888B-2DF0B91A04D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8F1-4956-888B-2DF0B91A04D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8F1-4956-888B-2DF0B91A04D1}"/>
              </c:ext>
            </c:extLst>
          </c:dPt>
          <c:dLbls>
            <c:dLbl>
              <c:idx val="0"/>
              <c:layout>
                <c:manualLayout>
                  <c:x val="-0.11193607746723183"/>
                  <c:y val="0.17772682669985393"/>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8F1-4956-888B-2DF0B91A04D1}"/>
                </c:ext>
              </c:extLst>
            </c:dLbl>
            <c:dLbl>
              <c:idx val="2"/>
              <c:layout>
                <c:manualLayout>
                  <c:x val="0.15354621527196172"/>
                  <c:y val="-7.5326755244696036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8F1-4956-888B-2DF0B91A04D1}"/>
                </c:ext>
              </c:extLst>
            </c:dLbl>
            <c:dLbl>
              <c:idx val="3"/>
              <c:layout>
                <c:manualLayout>
                  <c:x val="0.1509527015172889"/>
                  <c:y val="0.1359433262331570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8F1-4956-888B-2DF0B91A04D1}"/>
                </c:ext>
              </c:extLst>
            </c:dLbl>
            <c:dLbl>
              <c:idx val="4"/>
              <c:layout>
                <c:manualLayout>
                  <c:x val="4.9529603129681243E-2"/>
                  <c:y val="0.11044746239954928"/>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12441086275017246"/>
                      <c:h val="5.0538448822663853E-2"/>
                    </c:manualLayout>
                  </c15:layout>
                </c:ext>
                <c:ext xmlns:c16="http://schemas.microsoft.com/office/drawing/2014/chart" uri="{C3380CC4-5D6E-409C-BE32-E72D297353CC}">
                  <c16:uniqueId val="{00000009-98F1-4956-888B-2DF0B91A04D1}"/>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Analysis!$K$22:$K$26</c:f>
              <c:strCache>
                <c:ptCount val="5"/>
                <c:pt idx="0">
                  <c:v>Beverages</c:v>
                </c:pt>
                <c:pt idx="1">
                  <c:v>Burgers</c:v>
                </c:pt>
                <c:pt idx="2">
                  <c:v>Chicken Sandwiches</c:v>
                </c:pt>
                <c:pt idx="3">
                  <c:v>Fries</c:v>
                </c:pt>
                <c:pt idx="4">
                  <c:v>Sides &amp; Other</c:v>
                </c:pt>
              </c:strCache>
            </c:strRef>
          </c:cat>
          <c:val>
            <c:numRef>
              <c:f>Analysis!$L$22:$L$26</c:f>
              <c:numCache>
                <c:formatCode>"$"#,##0.00</c:formatCode>
                <c:ptCount val="5"/>
                <c:pt idx="0">
                  <c:v>125737.76000000007</c:v>
                </c:pt>
                <c:pt idx="1">
                  <c:v>392000.27999999997</c:v>
                </c:pt>
                <c:pt idx="2">
                  <c:v>115138.99999999991</c:v>
                </c:pt>
                <c:pt idx="3">
                  <c:v>125802.14000000007</c:v>
                </c:pt>
                <c:pt idx="4">
                  <c:v>53455.949999999983</c:v>
                </c:pt>
              </c:numCache>
            </c:numRef>
          </c:val>
          <c:extLst>
            <c:ext xmlns:c16="http://schemas.microsoft.com/office/drawing/2014/chart" uri="{C3380CC4-5D6E-409C-BE32-E72D297353CC}">
              <c16:uniqueId val="{0000000A-98F1-4956-888B-2DF0B91A04D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tr"/>
      <c:overlay val="0"/>
      <c:spPr>
        <a:solidFill>
          <a:schemeClr val="lt1">
            <a:lumMod val="95000"/>
            <a:alpha val="39000"/>
          </a:schemeClr>
        </a:solidFill>
        <a:ln>
          <a:noFill/>
        </a:ln>
        <a:effectLst>
          <a:glow rad="127000">
            <a:schemeClr val="accent4"/>
          </a:glow>
          <a:softEdge rad="635000"/>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solidFill>
      <a:srgbClr val="FFC000"/>
    </a:solidFill>
    <a:ln w="9525" cap="flat" cmpd="sng" algn="ctr">
      <a:solidFill>
        <a:schemeClr val="tx1">
          <a:alpha val="32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 Data.xlsx]Analysis!PivotTable20</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Total</a:t>
            </a:r>
            <a:r>
              <a:rPr lang="en-US" baseline="0"/>
              <a:t> Revenue per Manager</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Analysis!$J$37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Analysis!$I$38:$I$43</c:f>
              <c:strCache>
                <c:ptCount val="5"/>
                <c:pt idx="0">
                  <c:v>Joao Silva</c:v>
                </c:pt>
                <c:pt idx="1">
                  <c:v>Pablo Perez</c:v>
                </c:pt>
                <c:pt idx="2">
                  <c:v>Remy Monet</c:v>
                </c:pt>
                <c:pt idx="3">
                  <c:v>Tom Jackson</c:v>
                </c:pt>
                <c:pt idx="4">
                  <c:v>Walter Muller</c:v>
                </c:pt>
              </c:strCache>
            </c:strRef>
          </c:cat>
          <c:val>
            <c:numRef>
              <c:f>Analysis!$J$38:$J$43</c:f>
              <c:numCache>
                <c:formatCode>"$"#,##0.00</c:formatCode>
                <c:ptCount val="5"/>
                <c:pt idx="0">
                  <c:v>283555.36</c:v>
                </c:pt>
                <c:pt idx="1">
                  <c:v>136430.04000000004</c:v>
                </c:pt>
                <c:pt idx="2">
                  <c:v>79927.900000000009</c:v>
                </c:pt>
                <c:pt idx="3">
                  <c:v>211522.87999999995</c:v>
                </c:pt>
                <c:pt idx="4">
                  <c:v>100698.95000000001</c:v>
                </c:pt>
              </c:numCache>
            </c:numRef>
          </c:val>
          <c:smooth val="0"/>
          <c:extLst>
            <c:ext xmlns:c16="http://schemas.microsoft.com/office/drawing/2014/chart" uri="{C3380CC4-5D6E-409C-BE32-E72D297353CC}">
              <c16:uniqueId val="{00000000-92AD-4499-A070-45DDC79A3B2B}"/>
            </c:ext>
          </c:extLst>
        </c:ser>
        <c:dLbls>
          <c:dLblPos val="t"/>
          <c:showLegendKey val="0"/>
          <c:showVal val="1"/>
          <c:showCatName val="0"/>
          <c:showSerName val="0"/>
          <c:showPercent val="0"/>
          <c:showBubbleSize val="0"/>
        </c:dLbls>
        <c:smooth val="0"/>
        <c:axId val="2012329552"/>
        <c:axId val="2012329072"/>
      </c:lineChart>
      <c:catAx>
        <c:axId val="2012329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2329072"/>
        <c:crosses val="autoZero"/>
        <c:auto val="1"/>
        <c:lblAlgn val="ctr"/>
        <c:lblOffset val="100"/>
        <c:noMultiLvlLbl val="0"/>
      </c:catAx>
      <c:valAx>
        <c:axId val="2012329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12329552"/>
        <c:crosses val="autoZero"/>
        <c:crossBetween val="between"/>
      </c:valAx>
      <c:spPr>
        <a:solidFill>
          <a:srgbClr val="C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66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a:t>
            </a:r>
            <a:r>
              <a:rPr lang="en-US" b="1" baseline="0">
                <a:solidFill>
                  <a:sysClr val="windowText" lastClr="000000"/>
                </a:solidFill>
              </a:rPr>
              <a:t> Revenue per Quantity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Analysis!$J$54</c:f>
              <c:strCache>
                <c:ptCount val="1"/>
                <c:pt idx="0">
                  <c:v>Sum of Quantity</c:v>
                </c:pt>
              </c:strCache>
              <c:extLst xmlns:c15="http://schemas.microsoft.com/office/drawing/2012/chart"/>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30-426F-95C4-5251092CE693}"/>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6430-426F-95C4-5251092CE6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30-426F-95C4-5251092CE6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30-426F-95C4-5251092CE69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Analysis!$I$55:$I$58</c:f>
              <c:strCache>
                <c:ptCount val="4"/>
                <c:pt idx="0">
                  <c:v>Drive-thru </c:v>
                </c:pt>
                <c:pt idx="1">
                  <c:v>In-store </c:v>
                </c:pt>
                <c:pt idx="2">
                  <c:v>Online </c:v>
                </c:pt>
                <c:pt idx="3">
                  <c:v>Grand Total</c:v>
                </c:pt>
              </c:strCache>
              <c:extLst xmlns:c15="http://schemas.microsoft.com/office/drawing/2012/chart"/>
            </c:strRef>
          </c:cat>
          <c:val>
            <c:numRef>
              <c:f>Analysis!$J$55:$J$58</c:f>
              <c:numCache>
                <c:formatCode>0.00</c:formatCode>
                <c:ptCount val="4"/>
                <c:pt idx="0">
                  <c:v>27799</c:v>
                </c:pt>
                <c:pt idx="1">
                  <c:v>41682</c:v>
                </c:pt>
                <c:pt idx="2">
                  <c:v>49058</c:v>
                </c:pt>
                <c:pt idx="3">
                  <c:v>118539</c:v>
                </c:pt>
              </c:numCache>
            </c:numRef>
          </c:val>
          <c:extLst>
            <c:ext xmlns:c16="http://schemas.microsoft.com/office/drawing/2014/chart" uri="{C3380CC4-5D6E-409C-BE32-E72D297353CC}">
              <c16:uniqueId val="{00000008-6430-426F-95C4-5251092CE6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a:softEdge rad="0"/>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rgbClr val="FFC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plotArea>
      <cx:plotAreaRegion>
        <cx:series layoutId="boxWhisker" uniqueId="{D9CF8C9A-1FC7-487A-B90A-0E3086A6495D}">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Total Revenue per Region</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Total Revenue per Region</a:t>
          </a:r>
        </a:p>
      </cx:txPr>
    </cx:title>
    <cx:plotArea>
      <cx:plotAreaRegion>
        <cx:plotSurface>
          <cx:spPr>
            <a:solidFill>
              <a:schemeClr val="accent4">
                <a:lumMod val="20000"/>
                <a:lumOff val="80000"/>
              </a:schemeClr>
            </a:solidFill>
          </cx:spPr>
        </cx:plotSurface>
        <cx:series layoutId="funnel" uniqueId="{01FBB585-95E3-4082-9A64-35CAC4E59A0A}">
          <cx:data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solidFill>
                  <a:latin typeface="Calibri"/>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axis>
    </cx:plotArea>
  </cx:chart>
  <cx:spPr>
    <a:solidFill>
      <a:schemeClr val="accent4"/>
    </a:soli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data id="1">
      <cx:strDim type="cat">
        <cx:f>_xlchart.v1.4</cx:f>
      </cx:strDim>
      <cx:numDim type="val">
        <cx:f>_xlchart.v1.6</cx:f>
      </cx:numDim>
    </cx:data>
    <cx:data id="2">
      <cx:strDim type="cat">
        <cx:f>_xlchart.v1.4</cx:f>
      </cx:strDim>
      <cx:numDim type="val">
        <cx:f>_xlchart.v1.7</cx:f>
      </cx:numDim>
    </cx:data>
  </cx:chartData>
  <cx:chart>
    <cx:title pos="t" align="ctr" overlay="0">
      <cx:tx>
        <cx:txData>
          <cx:v> Total Quantity per Region</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a:rPr>
            <a:t> Total Quantity per Region</a:t>
          </a:r>
        </a:p>
      </cx:txPr>
    </cx:title>
    <cx:plotArea>
      <cx:plotAreaRegion>
        <cx:plotSurface>
          <cx:spPr>
            <a:solidFill>
              <a:srgbClr val="FF6600"/>
            </a:solidFill>
          </cx:spPr>
        </cx:plotSurface>
        <cx:series layoutId="waterfall" uniqueId="{45B9AC36-EDBF-4352-B9B6-F744D7CD9329}" formatIdx="0">
          <cx:dataLabels pos="outEnd">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visibility seriesName="0" categoryName="0" value="1"/>
          </cx:dataLabels>
          <cx:dataId val="0"/>
          <cx:layoutPr>
            <cx:subtotals/>
          </cx:layoutPr>
        </cx:series>
        <cx:series layoutId="waterfall" hidden="1" uniqueId="{534D79AA-3015-43E6-8107-D42457595A49}" formatIdx="1">
          <cx:dataLabels pos="outEnd">
            <cx:visibility seriesName="0" categoryName="0" value="1"/>
          </cx:dataLabels>
          <cx:dataId val="1"/>
          <cx:layoutPr>
            <cx:subtotals/>
          </cx:layoutPr>
        </cx:series>
        <cx:series layoutId="waterfall" hidden="1" uniqueId="{11655E37-ECA1-4003-9617-3DE2D71F35B3}" formatIdx="2">
          <cx:dataLabels pos="outEnd">
            <cx:visibility seriesName="0" categoryName="0" value="1"/>
          </cx:dataLabels>
          <cx:dataId val="2"/>
          <cx:layoutPr>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axis>
    </cx:plotArea>
    <cx:legend pos="t"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legend>
  </cx:chart>
  <cx:spPr>
    <a:solidFill>
      <a:schemeClr val="accent4">
        <a:lumMod val="60000"/>
        <a:lumOff val="40000"/>
      </a:schemeClr>
    </a:soli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_xlchart.v1.10</cx:f>
      </cx:numDim>
    </cx:data>
    <cx:data id="1">
      <cx:strDim type="cat">
        <cx:f>_xlchart.v1.8</cx:f>
      </cx:strDim>
      <cx:numDim type="size">
        <cx:f>_xlchart.v1.12</cx:f>
      </cx:numDim>
    </cx:data>
    <cx:data id="2">
      <cx:strDim type="cat">
        <cx:f>_xlchart.v1.8</cx:f>
      </cx:strDim>
      <cx:numDim type="size">
        <cx:f>_xlchart.v1.14</cx:f>
      </cx:numDim>
    </cx:data>
  </cx:chartData>
  <cx:chart>
    <cx:title pos="t" align="ctr" overlay="0">
      <cx:tx>
        <cx:txData>
          <cx:v> Total revenue per Payment Type</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75000"/>
                  <a:lumOff val="25000"/>
                </a:sysClr>
              </a:solidFill>
              <a:latin typeface="Calibri"/>
            </a:rPr>
            <a:t> Total revenue per Payment Type</a:t>
          </a:r>
        </a:p>
      </cx:txPr>
    </cx:title>
    <cx:plotArea>
      <cx:plotAreaRegion>
        <cx:series layoutId="sunburst" uniqueId="{B4D770A1-3067-4AE2-88AF-B7B028CAC744}" formatIdx="0">
          <cx:tx>
            <cx:txData>
              <cx:f>_xlchart.v1.9</cx:f>
              <cx:v>Sum of Total revenue</cx:v>
            </cx:txData>
          </cx:tx>
          <cx:dataPt idx="1">
            <cx:spPr>
              <a:solidFill>
                <a:srgbClr val="FFFF00"/>
              </a:solidFill>
            </cx:spPr>
          </cx:dataPt>
          <cx:dataLabels pos="ctr">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visibility seriesName="0" categoryName="1" value="0"/>
          </cx:dataLabels>
          <cx:dataId val="0"/>
        </cx:series>
        <cx:series layoutId="sunburst" hidden="1" uniqueId="{A4593386-AA87-45B7-BB75-FEDA5813C155}" formatIdx="1">
          <cx:tx>
            <cx:txData>
              <cx:f>_xlchart.v1.11</cx:f>
              <cx:v/>
            </cx:txData>
          </cx:tx>
          <cx:dataLabels pos="ctr">
            <cx:visibility seriesName="0" categoryName="1" value="0"/>
          </cx:dataLabels>
          <cx:dataId val="1"/>
        </cx:series>
        <cx:series layoutId="sunburst" hidden="1" uniqueId="{11D48AAF-4D80-44F6-8095-CDC09B310DB6}" formatIdx="2">
          <cx:tx>
            <cx:txData>
              <cx:f>_xlchart.v1.13</cx:f>
              <cx:v/>
            </cx:txData>
          </cx:tx>
          <cx:dataLabels pos="ctr">
            <cx:visibility seriesName="0" categoryName="1" value="0"/>
          </cx:dataLabels>
          <cx:dataId val="2"/>
        </cx:series>
      </cx:plotAreaRegion>
    </cx:plotArea>
    <cx:legend pos="r" align="ctr" overlay="0">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a:endParaRPr>
        </a:p>
      </cx:txPr>
    </cx:legend>
  </cx:chart>
  <cx:spPr>
    <a:solidFill>
      <a:srgbClr val="FF6600"/>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microsoft.com/office/2014/relationships/chartEx" Target="../charts/chartEx4.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3.xml"/><Relationship Id="rId5" Type="http://schemas.openxmlformats.org/officeDocument/2006/relationships/chart" Target="../charts/chart4.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12</xdr:col>
      <xdr:colOff>166687</xdr:colOff>
      <xdr:row>219</xdr:row>
      <xdr:rowOff>152400</xdr:rowOff>
    </xdr:from>
    <xdr:to>
      <xdr:col>17</xdr:col>
      <xdr:colOff>157162</xdr:colOff>
      <xdr:row>233</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D38EAD8-73D4-F109-5CB0-C55596D2B4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1853862" y="439578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2</xdr:row>
      <xdr:rowOff>95250</xdr:rowOff>
    </xdr:from>
    <xdr:to>
      <xdr:col>5</xdr:col>
      <xdr:colOff>228600</xdr:colOff>
      <xdr:row>15</xdr:row>
      <xdr:rowOff>161925</xdr:rowOff>
    </xdr:to>
    <mc:AlternateContent xmlns:mc="http://schemas.openxmlformats.org/markup-compatibility/2006" xmlns:a14="http://schemas.microsoft.com/office/drawing/2010/main">
      <mc:Choice Requires="a14">
        <xdr:graphicFrame macro="">
          <xdr:nvGraphicFramePr>
            <xdr:cNvPr id="7" name="Manager">
              <a:extLst>
                <a:ext uri="{FF2B5EF4-FFF2-40B4-BE49-F238E27FC236}">
                  <a16:creationId xmlns:a16="http://schemas.microsoft.com/office/drawing/2014/main" id="{9AA708DA-D856-D2A2-3433-35D5F0D03BCC}"/>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952625" y="495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7</xdr:row>
      <xdr:rowOff>50801</xdr:rowOff>
    </xdr:from>
    <xdr:to>
      <xdr:col>7</xdr:col>
      <xdr:colOff>19050</xdr:colOff>
      <xdr:row>22</xdr:row>
      <xdr:rowOff>88901</xdr:rowOff>
    </xdr:to>
    <xdr:graphicFrame macro="">
      <xdr:nvGraphicFramePr>
        <xdr:cNvPr id="4" name="Chart 3">
          <a:extLst>
            <a:ext uri="{FF2B5EF4-FFF2-40B4-BE49-F238E27FC236}">
              <a16:creationId xmlns:a16="http://schemas.microsoft.com/office/drawing/2014/main" id="{EAE32DB8-23C5-4DF3-98CD-C4AB5B307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95250</xdr:rowOff>
    </xdr:from>
    <xdr:to>
      <xdr:col>7</xdr:col>
      <xdr:colOff>3175</xdr:colOff>
      <xdr:row>40</xdr:row>
      <xdr:rowOff>35719</xdr:rowOff>
    </xdr:to>
    <xdr:graphicFrame macro="">
      <xdr:nvGraphicFramePr>
        <xdr:cNvPr id="5" name="Chart 4">
          <a:extLst>
            <a:ext uri="{FF2B5EF4-FFF2-40B4-BE49-F238E27FC236}">
              <a16:creationId xmlns:a16="http://schemas.microsoft.com/office/drawing/2014/main" id="{030F814C-D1EC-4DFB-AACC-E772FA761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72687</xdr:colOff>
      <xdr:row>7</xdr:row>
      <xdr:rowOff>78580</xdr:rowOff>
    </xdr:from>
    <xdr:to>
      <xdr:col>14</xdr:col>
      <xdr:colOff>378618</xdr:colOff>
      <xdr:row>22</xdr:row>
      <xdr:rowOff>145256</xdr:rowOff>
    </xdr:to>
    <xdr:graphicFrame macro="">
      <xdr:nvGraphicFramePr>
        <xdr:cNvPr id="9" name="Chart 8">
          <a:extLst>
            <a:ext uri="{FF2B5EF4-FFF2-40B4-BE49-F238E27FC236}">
              <a16:creationId xmlns:a16="http://schemas.microsoft.com/office/drawing/2014/main" id="{0F1A86B4-B1C5-432E-8E7F-8A4E66113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56789</xdr:colOff>
      <xdr:row>26</xdr:row>
      <xdr:rowOff>107156</xdr:rowOff>
    </xdr:from>
    <xdr:to>
      <xdr:col>14</xdr:col>
      <xdr:colOff>300035</xdr:colOff>
      <xdr:row>40</xdr:row>
      <xdr:rowOff>50007</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FE4059D3-B70D-466F-8D91-A0A9779C94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123964" y="5307806"/>
              <a:ext cx="5043846" cy="2743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454819</xdr:colOff>
      <xdr:row>7</xdr:row>
      <xdr:rowOff>63500</xdr:rowOff>
    </xdr:from>
    <xdr:to>
      <xdr:col>21</xdr:col>
      <xdr:colOff>283369</xdr:colOff>
      <xdr:row>22</xdr:row>
      <xdr:rowOff>101600</xdr:rowOff>
    </xdr:to>
    <xdr:graphicFrame macro="">
      <xdr:nvGraphicFramePr>
        <xdr:cNvPr id="6" name="Chart 5">
          <a:extLst>
            <a:ext uri="{FF2B5EF4-FFF2-40B4-BE49-F238E27FC236}">
              <a16:creationId xmlns:a16="http://schemas.microsoft.com/office/drawing/2014/main" id="{6A4E534D-AF46-49DA-BF6F-091821497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408010</xdr:colOff>
      <xdr:row>18</xdr:row>
      <xdr:rowOff>190501</xdr:rowOff>
    </xdr:from>
    <xdr:to>
      <xdr:col>21</xdr:col>
      <xdr:colOff>253999</xdr:colOff>
      <xdr:row>40</xdr:row>
      <xdr:rowOff>71437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7A2D50AB-1121-4D87-8E4C-DC6B851D43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275785" y="3790951"/>
              <a:ext cx="4646589" cy="42814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22</xdr:row>
      <xdr:rowOff>92866</xdr:rowOff>
    </xdr:from>
    <xdr:to>
      <xdr:col>9</xdr:col>
      <xdr:colOff>311430</xdr:colOff>
      <xdr:row>26</xdr:row>
      <xdr:rowOff>103026</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979D53AD-E02A-4F44-BEDB-3B2C6CC7664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4602170"/>
              <a:ext cx="5761177" cy="830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253197</xdr:colOff>
      <xdr:row>22</xdr:row>
      <xdr:rowOff>114542</xdr:rowOff>
    </xdr:from>
    <xdr:to>
      <xdr:col>15</xdr:col>
      <xdr:colOff>675190</xdr:colOff>
      <xdr:row>26</xdr:row>
      <xdr:rowOff>33262</xdr:rowOff>
    </xdr:to>
    <mc:AlternateContent xmlns:mc="http://schemas.openxmlformats.org/markup-compatibility/2006">
      <mc:Choice xmlns:a14="http://schemas.microsoft.com/office/drawing/2010/main" Requires="a14">
        <xdr:graphicFrame macro="">
          <xdr:nvGraphicFramePr>
            <xdr:cNvPr id="10" name="Payment Method">
              <a:extLst>
                <a:ext uri="{FF2B5EF4-FFF2-40B4-BE49-F238E27FC236}">
                  <a16:creationId xmlns:a16="http://schemas.microsoft.com/office/drawing/2014/main" id="{F51C3ECE-D8FA-4828-85A8-850D79507E02}"/>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5702944" y="4623846"/>
              <a:ext cx="4545474" cy="738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651076</xdr:colOff>
      <xdr:row>22</xdr:row>
      <xdr:rowOff>100806</xdr:rowOff>
    </xdr:from>
    <xdr:to>
      <xdr:col>28</xdr:col>
      <xdr:colOff>139541</xdr:colOff>
      <xdr:row>25</xdr:row>
      <xdr:rowOff>131286</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87134D96-5F11-4AC0-AD73-42A118B8793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461005" y="4610110"/>
              <a:ext cx="9185973" cy="645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302408</xdr:colOff>
      <xdr:row>7</xdr:row>
      <xdr:rowOff>76200</xdr:rowOff>
    </xdr:from>
    <xdr:to>
      <xdr:col>28</xdr:col>
      <xdr:colOff>131736</xdr:colOff>
      <xdr:row>22</xdr:row>
      <xdr:rowOff>76199</xdr:rowOff>
    </xdr:to>
    <xdr:graphicFrame macro="">
      <xdr:nvGraphicFramePr>
        <xdr:cNvPr id="14" name="Chart 13">
          <a:extLst>
            <a:ext uri="{FF2B5EF4-FFF2-40B4-BE49-F238E27FC236}">
              <a16:creationId xmlns:a16="http://schemas.microsoft.com/office/drawing/2014/main" id="{B838E9E0-5082-4E3E-BED4-EA6696097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263525</xdr:colOff>
      <xdr:row>25</xdr:row>
      <xdr:rowOff>190500</xdr:rowOff>
    </xdr:from>
    <xdr:to>
      <xdr:col>28</xdr:col>
      <xdr:colOff>92075</xdr:colOff>
      <xdr:row>40</xdr:row>
      <xdr:rowOff>63500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50B92B6-69D7-4563-A2FC-1D5F1AD28D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931900" y="5191125"/>
              <a:ext cx="4629150" cy="28733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25400</xdr:colOff>
      <xdr:row>0</xdr:row>
      <xdr:rowOff>12700</xdr:rowOff>
    </xdr:from>
    <xdr:to>
      <xdr:col>28</xdr:col>
      <xdr:colOff>215900</xdr:colOff>
      <xdr:row>7</xdr:row>
      <xdr:rowOff>0</xdr:rowOff>
    </xdr:to>
    <xdr:sp macro="" textlink="">
      <xdr:nvSpPr>
        <xdr:cNvPr id="34" name="Rectangle: Rounded Corners 33">
          <a:extLst>
            <a:ext uri="{FF2B5EF4-FFF2-40B4-BE49-F238E27FC236}">
              <a16:creationId xmlns:a16="http://schemas.microsoft.com/office/drawing/2014/main" id="{F500E64A-2947-9484-9111-CA211C560886}"/>
            </a:ext>
          </a:extLst>
        </xdr:cNvPr>
        <xdr:cNvSpPr/>
      </xdr:nvSpPr>
      <xdr:spPr>
        <a:xfrm>
          <a:off x="25400" y="12700"/>
          <a:ext cx="19392900" cy="14097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solidFill>
                <a:schemeClr val="tx1"/>
              </a:solidFill>
            </a:rPr>
            <a:t>PIUS</a:t>
          </a:r>
          <a:r>
            <a:rPr lang="en-US" sz="4000" b="1" baseline="0">
              <a:solidFill>
                <a:schemeClr val="tx1"/>
              </a:solidFill>
            </a:rPr>
            <a:t> ENTERPRISE DASHBORD REPORT</a:t>
          </a:r>
          <a:endParaRPr lang="en-US" sz="40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0.451826157405" createdVersion="8" refreshedVersion="8" minRefreshableVersion="3" recordCount="257" xr:uid="{E719D09E-A46A-4420-BA39-4503A7DACA6C}">
  <cacheSource type="worksheet">
    <worksheetSource ref="B2:K259" sheet="Raw"/>
  </cacheSource>
  <cacheFields count="10">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ount="53">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sharedItems>
    </cacheField>
    <cacheField name="Product" numFmtId="0">
      <sharedItems count="5">
        <s v="Fries"/>
        <s v="Beverages"/>
        <s v="Sides &amp; Other"/>
        <s v="Burgers"/>
        <s v="Chicken Sandwiches"/>
      </sharedItems>
    </cacheField>
    <cacheField name="Purchase Type" numFmtId="0">
      <sharedItems count="3">
        <s v="Online "/>
        <s v="In-store "/>
        <s v="Drive-thru "/>
      </sharedItems>
    </cacheField>
    <cacheField name="Payment Method" numFmtId="0">
      <sharedItems count="3">
        <s v=" Gift Card"/>
        <s v=" Credit Card"/>
        <s v=" Cash"/>
      </sharedItems>
    </cacheField>
    <cacheField name="Manager" numFmtId="0">
      <sharedItems count="5">
        <s v="Tom Jackson"/>
        <s v="Pablo Perez"/>
        <s v="Joao Silva"/>
        <s v="Walter Muller"/>
        <s v="Remy Monet"/>
      </sharedItems>
    </cacheField>
    <cacheField name="City" numFmtId="0">
      <sharedItems count="5">
        <s v="London"/>
        <s v="Madrid"/>
        <s v="Lisbon"/>
        <s v="Berlin"/>
        <s v="Paris"/>
      </sharedItems>
    </cacheField>
    <cacheField name="Price" numFmtId="0">
      <sharedItems containsSemiMixedTypes="0" containsString="0" containsNumber="1" minValue="2.95" maxValue="33.22"/>
    </cacheField>
    <cacheField name="Quantity" numFmtId="2">
      <sharedItems containsSemiMixedTypes="0" containsString="0" containsNumber="1" containsInteger="1" minValue="201" maxValue="755" count="28">
        <n v="574"/>
        <n v="746"/>
        <n v="201"/>
        <n v="570"/>
        <n v="202"/>
        <n v="555"/>
        <n v="678"/>
        <n v="631"/>
        <n v="524"/>
        <n v="509"/>
        <n v="539"/>
        <n v="688"/>
        <n v="478"/>
        <n v="493"/>
        <n v="462"/>
        <n v="447"/>
        <n v="586"/>
        <n v="222"/>
        <n v="601"/>
        <n v="632"/>
        <n v="647"/>
        <n v="242"/>
        <n v="262"/>
        <n v="693"/>
        <n v="282"/>
        <n v="724"/>
        <n v="302"/>
        <n v="755"/>
      </sharedItems>
    </cacheField>
    <cacheField name="Total revenue" numFmtId="0">
      <sharedItems containsSemiMixedTypes="0" containsString="0" containsNumber="1" minValue="1002.99" maxValue="22523.16" count="34">
        <n v="2003.2600000000002"/>
        <n v="2200.7000000000003"/>
        <n v="1002.99"/>
        <n v="7404.3"/>
        <n v="2009.8999999999999"/>
        <n v="7209.45"/>
        <n v="2000.1000000000001"/>
        <n v="2202.19"/>
        <n v="6806.76"/>
        <n v="6611.91"/>
        <n v="16090.5"/>
        <n v="22523.16"/>
        <n v="4309.4400000000005"/>
        <n v="14666.759999999998"/>
        <n v="5868.1"/>
        <n v="7001.61"/>
        <n v="2401.1200000000003"/>
        <n v="6209.22"/>
        <n v="6404.07"/>
        <n v="6001.38"/>
        <n v="5806.53"/>
        <n v="7612.14"/>
        <n v="2208.8999999999996"/>
        <n v="7806.99"/>
        <n v="8209.68"/>
        <n v="8404.5300000000007"/>
        <n v="8807.2199999999993"/>
        <n v="2407.8999999999996"/>
        <n v="2606.8999999999996"/>
        <n v="9002.07"/>
        <n v="2805.8999999999996"/>
        <n v="9404.76"/>
        <n v="3004.8999999999996"/>
        <n v="9807.4500000000007"/>
      </sharedItems>
    </cacheField>
  </cacheFields>
  <extLst>
    <ext xmlns:x14="http://schemas.microsoft.com/office/spreadsheetml/2009/9/main" uri="{725AE2AE-9491-48be-B2B4-4EB974FC3084}">
      <x14:pivotCacheDefinition pivotCacheId="418249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x v="0"/>
    <x v="0"/>
    <x v="0"/>
    <x v="0"/>
    <x v="0"/>
    <x v="0"/>
    <n v="3.49"/>
    <x v="0"/>
    <x v="0"/>
  </r>
  <r>
    <n v="10453"/>
    <x v="0"/>
    <x v="1"/>
    <x v="0"/>
    <x v="0"/>
    <x v="1"/>
    <x v="1"/>
    <n v="2.95"/>
    <x v="1"/>
    <x v="1"/>
  </r>
  <r>
    <n v="10454"/>
    <x v="0"/>
    <x v="2"/>
    <x v="1"/>
    <x v="0"/>
    <x v="2"/>
    <x v="2"/>
    <n v="4.99"/>
    <x v="2"/>
    <x v="2"/>
  </r>
  <r>
    <n v="10455"/>
    <x v="1"/>
    <x v="3"/>
    <x v="1"/>
    <x v="1"/>
    <x v="3"/>
    <x v="3"/>
    <n v="12.99"/>
    <x v="3"/>
    <x v="3"/>
  </r>
  <r>
    <n v="10456"/>
    <x v="1"/>
    <x v="4"/>
    <x v="1"/>
    <x v="1"/>
    <x v="3"/>
    <x v="3"/>
    <n v="9.9499999999999993"/>
    <x v="4"/>
    <x v="4"/>
  </r>
  <r>
    <n v="10457"/>
    <x v="1"/>
    <x v="0"/>
    <x v="1"/>
    <x v="1"/>
    <x v="4"/>
    <x v="4"/>
    <n v="3.49"/>
    <x v="0"/>
    <x v="0"/>
  </r>
  <r>
    <n v="10459"/>
    <x v="1"/>
    <x v="2"/>
    <x v="1"/>
    <x v="1"/>
    <x v="3"/>
    <x v="3"/>
    <n v="4.99"/>
    <x v="2"/>
    <x v="2"/>
  </r>
  <r>
    <n v="10460"/>
    <x v="2"/>
    <x v="3"/>
    <x v="1"/>
    <x v="1"/>
    <x v="4"/>
    <x v="4"/>
    <n v="12.99"/>
    <x v="5"/>
    <x v="5"/>
  </r>
  <r>
    <n v="10461"/>
    <x v="2"/>
    <x v="4"/>
    <x v="1"/>
    <x v="1"/>
    <x v="4"/>
    <x v="4"/>
    <n v="9.9499999999999993"/>
    <x v="4"/>
    <x v="4"/>
  </r>
  <r>
    <n v="10462"/>
    <x v="2"/>
    <x v="0"/>
    <x v="1"/>
    <x v="1"/>
    <x v="4"/>
    <x v="4"/>
    <n v="3.49"/>
    <x v="0"/>
    <x v="0"/>
  </r>
  <r>
    <n v="10463"/>
    <x v="2"/>
    <x v="1"/>
    <x v="1"/>
    <x v="1"/>
    <x v="4"/>
    <x v="4"/>
    <n v="2.95"/>
    <x v="6"/>
    <x v="6"/>
  </r>
  <r>
    <n v="10464"/>
    <x v="2"/>
    <x v="2"/>
    <x v="1"/>
    <x v="1"/>
    <x v="4"/>
    <x v="4"/>
    <n v="4.99"/>
    <x v="2"/>
    <x v="2"/>
  </r>
  <r>
    <n v="10465"/>
    <x v="3"/>
    <x v="3"/>
    <x v="1"/>
    <x v="1"/>
    <x v="1"/>
    <x v="1"/>
    <n v="12.99"/>
    <x v="5"/>
    <x v="5"/>
  </r>
  <r>
    <n v="10466"/>
    <x v="3"/>
    <x v="4"/>
    <x v="1"/>
    <x v="1"/>
    <x v="1"/>
    <x v="1"/>
    <n v="9.9499999999999993"/>
    <x v="4"/>
    <x v="4"/>
  </r>
  <r>
    <n v="10467"/>
    <x v="3"/>
    <x v="0"/>
    <x v="1"/>
    <x v="1"/>
    <x v="1"/>
    <x v="1"/>
    <n v="3.49"/>
    <x v="0"/>
    <x v="0"/>
  </r>
  <r>
    <n v="10468"/>
    <x v="3"/>
    <x v="1"/>
    <x v="1"/>
    <x v="1"/>
    <x v="1"/>
    <x v="1"/>
    <n v="2.95"/>
    <x v="6"/>
    <x v="6"/>
  </r>
  <r>
    <n v="10470"/>
    <x v="4"/>
    <x v="3"/>
    <x v="1"/>
    <x v="1"/>
    <x v="1"/>
    <x v="1"/>
    <n v="12.99"/>
    <x v="5"/>
    <x v="5"/>
  </r>
  <r>
    <n v="10471"/>
    <x v="4"/>
    <x v="4"/>
    <x v="1"/>
    <x v="1"/>
    <x v="1"/>
    <x v="1"/>
    <n v="9.9499999999999993"/>
    <x v="4"/>
    <x v="4"/>
  </r>
  <r>
    <n v="10472"/>
    <x v="4"/>
    <x v="0"/>
    <x v="1"/>
    <x v="1"/>
    <x v="1"/>
    <x v="1"/>
    <n v="3.49"/>
    <x v="7"/>
    <x v="7"/>
  </r>
  <r>
    <n v="10473"/>
    <x v="4"/>
    <x v="1"/>
    <x v="1"/>
    <x v="1"/>
    <x v="1"/>
    <x v="1"/>
    <n v="2.95"/>
    <x v="6"/>
    <x v="6"/>
  </r>
  <r>
    <n v="10474"/>
    <x v="4"/>
    <x v="2"/>
    <x v="1"/>
    <x v="1"/>
    <x v="1"/>
    <x v="1"/>
    <n v="4.99"/>
    <x v="2"/>
    <x v="2"/>
  </r>
  <r>
    <n v="10475"/>
    <x v="5"/>
    <x v="3"/>
    <x v="1"/>
    <x v="1"/>
    <x v="1"/>
    <x v="1"/>
    <n v="12.99"/>
    <x v="8"/>
    <x v="8"/>
  </r>
  <r>
    <n v="10476"/>
    <x v="5"/>
    <x v="4"/>
    <x v="1"/>
    <x v="1"/>
    <x v="1"/>
    <x v="1"/>
    <n v="9.9499999999999993"/>
    <x v="4"/>
    <x v="4"/>
  </r>
  <r>
    <n v="10477"/>
    <x v="5"/>
    <x v="0"/>
    <x v="1"/>
    <x v="1"/>
    <x v="1"/>
    <x v="1"/>
    <n v="3.49"/>
    <x v="7"/>
    <x v="7"/>
  </r>
  <r>
    <n v="10478"/>
    <x v="5"/>
    <x v="1"/>
    <x v="1"/>
    <x v="1"/>
    <x v="1"/>
    <x v="1"/>
    <n v="2.95"/>
    <x v="6"/>
    <x v="6"/>
  </r>
  <r>
    <n v="10479"/>
    <x v="5"/>
    <x v="2"/>
    <x v="1"/>
    <x v="1"/>
    <x v="1"/>
    <x v="1"/>
    <n v="4.99"/>
    <x v="2"/>
    <x v="2"/>
  </r>
  <r>
    <n v="10480"/>
    <x v="6"/>
    <x v="3"/>
    <x v="1"/>
    <x v="1"/>
    <x v="1"/>
    <x v="1"/>
    <n v="12.99"/>
    <x v="9"/>
    <x v="9"/>
  </r>
  <r>
    <n v="10481"/>
    <x v="6"/>
    <x v="4"/>
    <x v="1"/>
    <x v="1"/>
    <x v="1"/>
    <x v="1"/>
    <n v="9.9499999999999993"/>
    <x v="4"/>
    <x v="4"/>
  </r>
  <r>
    <n v="10482"/>
    <x v="6"/>
    <x v="0"/>
    <x v="1"/>
    <x v="1"/>
    <x v="2"/>
    <x v="2"/>
    <n v="25.5"/>
    <x v="7"/>
    <x v="10"/>
  </r>
  <r>
    <n v="10483"/>
    <x v="6"/>
    <x v="1"/>
    <x v="1"/>
    <x v="1"/>
    <x v="2"/>
    <x v="2"/>
    <n v="33.22"/>
    <x v="6"/>
    <x v="11"/>
  </r>
  <r>
    <n v="10484"/>
    <x v="6"/>
    <x v="2"/>
    <x v="1"/>
    <x v="1"/>
    <x v="2"/>
    <x v="2"/>
    <n v="21.44"/>
    <x v="2"/>
    <x v="12"/>
  </r>
  <r>
    <n v="10485"/>
    <x v="7"/>
    <x v="3"/>
    <x v="1"/>
    <x v="1"/>
    <x v="2"/>
    <x v="2"/>
    <n v="27.99"/>
    <x v="8"/>
    <x v="13"/>
  </r>
  <r>
    <n v="10486"/>
    <x v="7"/>
    <x v="4"/>
    <x v="1"/>
    <x v="1"/>
    <x v="2"/>
    <x v="2"/>
    <n v="29.05"/>
    <x v="4"/>
    <x v="14"/>
  </r>
  <r>
    <n v="10487"/>
    <x v="7"/>
    <x v="0"/>
    <x v="1"/>
    <x v="1"/>
    <x v="2"/>
    <x v="2"/>
    <n v="3.49"/>
    <x v="7"/>
    <x v="7"/>
  </r>
  <r>
    <n v="10488"/>
    <x v="7"/>
    <x v="1"/>
    <x v="1"/>
    <x v="1"/>
    <x v="2"/>
    <x v="2"/>
    <n v="2.95"/>
    <x v="6"/>
    <x v="6"/>
  </r>
  <r>
    <n v="10489"/>
    <x v="7"/>
    <x v="2"/>
    <x v="1"/>
    <x v="1"/>
    <x v="1"/>
    <x v="1"/>
    <n v="4.99"/>
    <x v="2"/>
    <x v="2"/>
  </r>
  <r>
    <n v="10490"/>
    <x v="8"/>
    <x v="3"/>
    <x v="1"/>
    <x v="1"/>
    <x v="1"/>
    <x v="1"/>
    <n v="12.99"/>
    <x v="9"/>
    <x v="9"/>
  </r>
  <r>
    <n v="10491"/>
    <x v="8"/>
    <x v="4"/>
    <x v="1"/>
    <x v="1"/>
    <x v="1"/>
    <x v="1"/>
    <n v="9.9499999999999993"/>
    <x v="4"/>
    <x v="4"/>
  </r>
  <r>
    <n v="10492"/>
    <x v="8"/>
    <x v="0"/>
    <x v="1"/>
    <x v="1"/>
    <x v="1"/>
    <x v="1"/>
    <n v="3.49"/>
    <x v="0"/>
    <x v="0"/>
  </r>
  <r>
    <n v="10493"/>
    <x v="8"/>
    <x v="1"/>
    <x v="1"/>
    <x v="1"/>
    <x v="1"/>
    <x v="1"/>
    <n v="2.95"/>
    <x v="6"/>
    <x v="6"/>
  </r>
  <r>
    <n v="10494"/>
    <x v="8"/>
    <x v="2"/>
    <x v="1"/>
    <x v="1"/>
    <x v="1"/>
    <x v="1"/>
    <n v="4.99"/>
    <x v="2"/>
    <x v="2"/>
  </r>
  <r>
    <n v="10495"/>
    <x v="9"/>
    <x v="3"/>
    <x v="1"/>
    <x v="1"/>
    <x v="1"/>
    <x v="1"/>
    <n v="12.99"/>
    <x v="9"/>
    <x v="9"/>
  </r>
  <r>
    <n v="10496"/>
    <x v="9"/>
    <x v="4"/>
    <x v="1"/>
    <x v="1"/>
    <x v="1"/>
    <x v="1"/>
    <n v="9.9499999999999993"/>
    <x v="4"/>
    <x v="4"/>
  </r>
  <r>
    <n v="10497"/>
    <x v="9"/>
    <x v="0"/>
    <x v="1"/>
    <x v="1"/>
    <x v="1"/>
    <x v="1"/>
    <n v="3.49"/>
    <x v="0"/>
    <x v="0"/>
  </r>
  <r>
    <n v="10498"/>
    <x v="9"/>
    <x v="1"/>
    <x v="2"/>
    <x v="1"/>
    <x v="1"/>
    <x v="1"/>
    <n v="2.95"/>
    <x v="6"/>
    <x v="6"/>
  </r>
  <r>
    <n v="10499"/>
    <x v="9"/>
    <x v="2"/>
    <x v="2"/>
    <x v="1"/>
    <x v="1"/>
    <x v="1"/>
    <n v="4.99"/>
    <x v="2"/>
    <x v="2"/>
  </r>
  <r>
    <n v="10500"/>
    <x v="10"/>
    <x v="3"/>
    <x v="2"/>
    <x v="1"/>
    <x v="1"/>
    <x v="1"/>
    <n v="12.99"/>
    <x v="8"/>
    <x v="8"/>
  </r>
  <r>
    <n v="10501"/>
    <x v="10"/>
    <x v="4"/>
    <x v="2"/>
    <x v="1"/>
    <x v="1"/>
    <x v="1"/>
    <n v="9.9499999999999993"/>
    <x v="4"/>
    <x v="4"/>
  </r>
  <r>
    <n v="10502"/>
    <x v="10"/>
    <x v="0"/>
    <x v="2"/>
    <x v="1"/>
    <x v="1"/>
    <x v="1"/>
    <n v="3.49"/>
    <x v="7"/>
    <x v="7"/>
  </r>
  <r>
    <n v="10503"/>
    <x v="10"/>
    <x v="1"/>
    <x v="2"/>
    <x v="1"/>
    <x v="1"/>
    <x v="1"/>
    <n v="2.95"/>
    <x v="6"/>
    <x v="6"/>
  </r>
  <r>
    <n v="10504"/>
    <x v="10"/>
    <x v="2"/>
    <x v="2"/>
    <x v="1"/>
    <x v="1"/>
    <x v="1"/>
    <n v="4.99"/>
    <x v="2"/>
    <x v="2"/>
  </r>
  <r>
    <n v="10505"/>
    <x v="11"/>
    <x v="3"/>
    <x v="2"/>
    <x v="1"/>
    <x v="1"/>
    <x v="1"/>
    <n v="12.99"/>
    <x v="10"/>
    <x v="15"/>
  </r>
  <r>
    <n v="10506"/>
    <x v="11"/>
    <x v="4"/>
    <x v="2"/>
    <x v="1"/>
    <x v="1"/>
    <x v="1"/>
    <n v="9.9499999999999993"/>
    <x v="4"/>
    <x v="4"/>
  </r>
  <r>
    <n v="10507"/>
    <x v="11"/>
    <x v="0"/>
    <x v="2"/>
    <x v="1"/>
    <x v="1"/>
    <x v="1"/>
    <n v="3.49"/>
    <x v="11"/>
    <x v="16"/>
  </r>
  <r>
    <n v="10508"/>
    <x v="11"/>
    <x v="1"/>
    <x v="2"/>
    <x v="1"/>
    <x v="1"/>
    <x v="1"/>
    <n v="2.95"/>
    <x v="6"/>
    <x v="6"/>
  </r>
  <r>
    <n v="10509"/>
    <x v="11"/>
    <x v="2"/>
    <x v="2"/>
    <x v="1"/>
    <x v="1"/>
    <x v="1"/>
    <n v="4.99"/>
    <x v="2"/>
    <x v="2"/>
  </r>
  <r>
    <n v="10510"/>
    <x v="12"/>
    <x v="3"/>
    <x v="2"/>
    <x v="1"/>
    <x v="1"/>
    <x v="1"/>
    <n v="12.99"/>
    <x v="9"/>
    <x v="9"/>
  </r>
  <r>
    <n v="10511"/>
    <x v="12"/>
    <x v="4"/>
    <x v="2"/>
    <x v="1"/>
    <x v="2"/>
    <x v="2"/>
    <n v="9.9499999999999993"/>
    <x v="4"/>
    <x v="4"/>
  </r>
  <r>
    <n v="10512"/>
    <x v="12"/>
    <x v="0"/>
    <x v="2"/>
    <x v="1"/>
    <x v="2"/>
    <x v="2"/>
    <n v="3.49"/>
    <x v="11"/>
    <x v="16"/>
  </r>
  <r>
    <n v="10513"/>
    <x v="12"/>
    <x v="1"/>
    <x v="2"/>
    <x v="2"/>
    <x v="2"/>
    <x v="2"/>
    <n v="2.95"/>
    <x v="6"/>
    <x v="6"/>
  </r>
  <r>
    <n v="10514"/>
    <x v="12"/>
    <x v="2"/>
    <x v="2"/>
    <x v="2"/>
    <x v="2"/>
    <x v="2"/>
    <n v="4.99"/>
    <x v="2"/>
    <x v="2"/>
  </r>
  <r>
    <n v="10515"/>
    <x v="13"/>
    <x v="3"/>
    <x v="2"/>
    <x v="2"/>
    <x v="2"/>
    <x v="2"/>
    <n v="12.99"/>
    <x v="12"/>
    <x v="17"/>
  </r>
  <r>
    <n v="10516"/>
    <x v="13"/>
    <x v="4"/>
    <x v="2"/>
    <x v="2"/>
    <x v="2"/>
    <x v="2"/>
    <n v="9.9499999999999993"/>
    <x v="4"/>
    <x v="4"/>
  </r>
  <r>
    <n v="10483"/>
    <x v="6"/>
    <x v="1"/>
    <x v="1"/>
    <x v="1"/>
    <x v="2"/>
    <x v="2"/>
    <n v="2.95"/>
    <x v="6"/>
    <x v="6"/>
  </r>
  <r>
    <n v="10484"/>
    <x v="6"/>
    <x v="2"/>
    <x v="1"/>
    <x v="1"/>
    <x v="2"/>
    <x v="2"/>
    <n v="4.99"/>
    <x v="2"/>
    <x v="2"/>
  </r>
  <r>
    <n v="10485"/>
    <x v="7"/>
    <x v="3"/>
    <x v="1"/>
    <x v="1"/>
    <x v="2"/>
    <x v="2"/>
    <n v="12.99"/>
    <x v="8"/>
    <x v="8"/>
  </r>
  <r>
    <n v="10520"/>
    <x v="14"/>
    <x v="3"/>
    <x v="2"/>
    <x v="2"/>
    <x v="4"/>
    <x v="4"/>
    <n v="12.99"/>
    <x v="13"/>
    <x v="18"/>
  </r>
  <r>
    <n v="10521"/>
    <x v="14"/>
    <x v="4"/>
    <x v="2"/>
    <x v="2"/>
    <x v="4"/>
    <x v="4"/>
    <n v="9.9499999999999993"/>
    <x v="4"/>
    <x v="4"/>
  </r>
  <r>
    <n v="10522"/>
    <x v="14"/>
    <x v="0"/>
    <x v="2"/>
    <x v="2"/>
    <x v="4"/>
    <x v="4"/>
    <n v="3.49"/>
    <x v="11"/>
    <x v="16"/>
  </r>
  <r>
    <n v="10523"/>
    <x v="14"/>
    <x v="1"/>
    <x v="2"/>
    <x v="2"/>
    <x v="4"/>
    <x v="4"/>
    <n v="2.95"/>
    <x v="1"/>
    <x v="1"/>
  </r>
  <r>
    <n v="10524"/>
    <x v="14"/>
    <x v="2"/>
    <x v="2"/>
    <x v="2"/>
    <x v="4"/>
    <x v="4"/>
    <n v="4.99"/>
    <x v="2"/>
    <x v="2"/>
  </r>
  <r>
    <n v="10525"/>
    <x v="15"/>
    <x v="3"/>
    <x v="2"/>
    <x v="2"/>
    <x v="4"/>
    <x v="4"/>
    <n v="12.99"/>
    <x v="14"/>
    <x v="19"/>
  </r>
  <r>
    <n v="10526"/>
    <x v="15"/>
    <x v="4"/>
    <x v="2"/>
    <x v="2"/>
    <x v="4"/>
    <x v="4"/>
    <n v="9.9499999999999993"/>
    <x v="4"/>
    <x v="4"/>
  </r>
  <r>
    <n v="10527"/>
    <x v="15"/>
    <x v="0"/>
    <x v="2"/>
    <x v="2"/>
    <x v="4"/>
    <x v="4"/>
    <n v="3.49"/>
    <x v="11"/>
    <x v="16"/>
  </r>
  <r>
    <n v="10528"/>
    <x v="15"/>
    <x v="1"/>
    <x v="2"/>
    <x v="2"/>
    <x v="4"/>
    <x v="4"/>
    <n v="2.95"/>
    <x v="1"/>
    <x v="1"/>
  </r>
  <r>
    <n v="10529"/>
    <x v="15"/>
    <x v="2"/>
    <x v="2"/>
    <x v="2"/>
    <x v="4"/>
    <x v="4"/>
    <n v="4.99"/>
    <x v="2"/>
    <x v="2"/>
  </r>
  <r>
    <n v="10530"/>
    <x v="16"/>
    <x v="3"/>
    <x v="2"/>
    <x v="2"/>
    <x v="4"/>
    <x v="4"/>
    <n v="12.99"/>
    <x v="12"/>
    <x v="17"/>
  </r>
  <r>
    <n v="10531"/>
    <x v="16"/>
    <x v="4"/>
    <x v="2"/>
    <x v="2"/>
    <x v="4"/>
    <x v="4"/>
    <n v="9.9499999999999993"/>
    <x v="4"/>
    <x v="4"/>
  </r>
  <r>
    <n v="10532"/>
    <x v="16"/>
    <x v="0"/>
    <x v="2"/>
    <x v="2"/>
    <x v="2"/>
    <x v="2"/>
    <n v="3.49"/>
    <x v="11"/>
    <x v="16"/>
  </r>
  <r>
    <n v="10533"/>
    <x v="16"/>
    <x v="1"/>
    <x v="2"/>
    <x v="2"/>
    <x v="2"/>
    <x v="2"/>
    <n v="2.95"/>
    <x v="1"/>
    <x v="1"/>
  </r>
  <r>
    <n v="10534"/>
    <x v="16"/>
    <x v="2"/>
    <x v="2"/>
    <x v="2"/>
    <x v="1"/>
    <x v="1"/>
    <n v="4.99"/>
    <x v="2"/>
    <x v="2"/>
  </r>
  <r>
    <n v="10535"/>
    <x v="17"/>
    <x v="3"/>
    <x v="2"/>
    <x v="1"/>
    <x v="1"/>
    <x v="1"/>
    <n v="12.99"/>
    <x v="12"/>
    <x v="17"/>
  </r>
  <r>
    <n v="10536"/>
    <x v="17"/>
    <x v="4"/>
    <x v="2"/>
    <x v="1"/>
    <x v="1"/>
    <x v="1"/>
    <n v="9.9499999999999993"/>
    <x v="4"/>
    <x v="4"/>
  </r>
  <r>
    <n v="10537"/>
    <x v="17"/>
    <x v="0"/>
    <x v="2"/>
    <x v="1"/>
    <x v="1"/>
    <x v="1"/>
    <n v="3.49"/>
    <x v="7"/>
    <x v="7"/>
  </r>
  <r>
    <n v="10538"/>
    <x v="17"/>
    <x v="1"/>
    <x v="2"/>
    <x v="1"/>
    <x v="1"/>
    <x v="1"/>
    <n v="2.95"/>
    <x v="1"/>
    <x v="1"/>
  </r>
  <r>
    <n v="10539"/>
    <x v="17"/>
    <x v="2"/>
    <x v="2"/>
    <x v="1"/>
    <x v="1"/>
    <x v="1"/>
    <n v="4.99"/>
    <x v="2"/>
    <x v="2"/>
  </r>
  <r>
    <n v="10540"/>
    <x v="18"/>
    <x v="3"/>
    <x v="2"/>
    <x v="1"/>
    <x v="1"/>
    <x v="1"/>
    <n v="12.99"/>
    <x v="14"/>
    <x v="19"/>
  </r>
  <r>
    <n v="10541"/>
    <x v="18"/>
    <x v="4"/>
    <x v="2"/>
    <x v="1"/>
    <x v="0"/>
    <x v="0"/>
    <n v="9.9499999999999993"/>
    <x v="4"/>
    <x v="4"/>
  </r>
  <r>
    <n v="10542"/>
    <x v="18"/>
    <x v="0"/>
    <x v="2"/>
    <x v="1"/>
    <x v="0"/>
    <x v="0"/>
    <n v="3.49"/>
    <x v="7"/>
    <x v="7"/>
  </r>
  <r>
    <n v="10543"/>
    <x v="18"/>
    <x v="1"/>
    <x v="2"/>
    <x v="1"/>
    <x v="0"/>
    <x v="0"/>
    <n v="2.95"/>
    <x v="1"/>
    <x v="1"/>
  </r>
  <r>
    <n v="10544"/>
    <x v="18"/>
    <x v="2"/>
    <x v="2"/>
    <x v="1"/>
    <x v="0"/>
    <x v="0"/>
    <n v="4.99"/>
    <x v="2"/>
    <x v="2"/>
  </r>
  <r>
    <n v="10545"/>
    <x v="19"/>
    <x v="3"/>
    <x v="2"/>
    <x v="1"/>
    <x v="0"/>
    <x v="0"/>
    <n v="12.99"/>
    <x v="15"/>
    <x v="20"/>
  </r>
  <r>
    <n v="10546"/>
    <x v="19"/>
    <x v="4"/>
    <x v="2"/>
    <x v="1"/>
    <x v="0"/>
    <x v="0"/>
    <n v="9.9499999999999993"/>
    <x v="4"/>
    <x v="4"/>
  </r>
  <r>
    <n v="10547"/>
    <x v="19"/>
    <x v="0"/>
    <x v="2"/>
    <x v="1"/>
    <x v="0"/>
    <x v="0"/>
    <n v="3.49"/>
    <x v="7"/>
    <x v="7"/>
  </r>
  <r>
    <n v="10548"/>
    <x v="19"/>
    <x v="1"/>
    <x v="2"/>
    <x v="1"/>
    <x v="0"/>
    <x v="0"/>
    <n v="2.95"/>
    <x v="1"/>
    <x v="1"/>
  </r>
  <r>
    <n v="10549"/>
    <x v="19"/>
    <x v="2"/>
    <x v="2"/>
    <x v="1"/>
    <x v="0"/>
    <x v="0"/>
    <n v="4.99"/>
    <x v="2"/>
    <x v="2"/>
  </r>
  <r>
    <n v="10550"/>
    <x v="20"/>
    <x v="3"/>
    <x v="2"/>
    <x v="1"/>
    <x v="0"/>
    <x v="0"/>
    <n v="12.99"/>
    <x v="14"/>
    <x v="19"/>
  </r>
  <r>
    <n v="10551"/>
    <x v="20"/>
    <x v="4"/>
    <x v="2"/>
    <x v="1"/>
    <x v="0"/>
    <x v="0"/>
    <n v="9.9499999999999993"/>
    <x v="4"/>
    <x v="4"/>
  </r>
  <r>
    <n v="10552"/>
    <x v="20"/>
    <x v="0"/>
    <x v="0"/>
    <x v="1"/>
    <x v="0"/>
    <x v="0"/>
    <n v="3.49"/>
    <x v="7"/>
    <x v="7"/>
  </r>
  <r>
    <n v="10553"/>
    <x v="20"/>
    <x v="1"/>
    <x v="0"/>
    <x v="1"/>
    <x v="0"/>
    <x v="0"/>
    <n v="2.95"/>
    <x v="1"/>
    <x v="1"/>
  </r>
  <r>
    <n v="10554"/>
    <x v="20"/>
    <x v="2"/>
    <x v="0"/>
    <x v="1"/>
    <x v="0"/>
    <x v="0"/>
    <n v="4.99"/>
    <x v="2"/>
    <x v="2"/>
  </r>
  <r>
    <n v="10555"/>
    <x v="21"/>
    <x v="3"/>
    <x v="0"/>
    <x v="1"/>
    <x v="0"/>
    <x v="0"/>
    <n v="12.99"/>
    <x v="12"/>
    <x v="17"/>
  </r>
  <r>
    <n v="10556"/>
    <x v="21"/>
    <x v="4"/>
    <x v="0"/>
    <x v="1"/>
    <x v="0"/>
    <x v="0"/>
    <n v="9.9499999999999993"/>
    <x v="4"/>
    <x v="4"/>
  </r>
  <r>
    <n v="10557"/>
    <x v="21"/>
    <x v="0"/>
    <x v="0"/>
    <x v="1"/>
    <x v="0"/>
    <x v="0"/>
    <n v="3.49"/>
    <x v="7"/>
    <x v="7"/>
  </r>
  <r>
    <n v="10558"/>
    <x v="21"/>
    <x v="1"/>
    <x v="0"/>
    <x v="1"/>
    <x v="0"/>
    <x v="0"/>
    <n v="2.95"/>
    <x v="6"/>
    <x v="6"/>
  </r>
  <r>
    <n v="10559"/>
    <x v="21"/>
    <x v="2"/>
    <x v="0"/>
    <x v="1"/>
    <x v="0"/>
    <x v="0"/>
    <n v="4.99"/>
    <x v="2"/>
    <x v="2"/>
  </r>
  <r>
    <n v="10560"/>
    <x v="22"/>
    <x v="3"/>
    <x v="0"/>
    <x v="1"/>
    <x v="0"/>
    <x v="0"/>
    <n v="12.99"/>
    <x v="12"/>
    <x v="17"/>
  </r>
  <r>
    <n v="10561"/>
    <x v="22"/>
    <x v="4"/>
    <x v="0"/>
    <x v="1"/>
    <x v="0"/>
    <x v="0"/>
    <n v="9.9499999999999993"/>
    <x v="4"/>
    <x v="4"/>
  </r>
  <r>
    <n v="10562"/>
    <x v="22"/>
    <x v="0"/>
    <x v="0"/>
    <x v="1"/>
    <x v="0"/>
    <x v="0"/>
    <n v="3.49"/>
    <x v="7"/>
    <x v="7"/>
  </r>
  <r>
    <n v="10563"/>
    <x v="22"/>
    <x v="1"/>
    <x v="0"/>
    <x v="1"/>
    <x v="0"/>
    <x v="0"/>
    <n v="2.95"/>
    <x v="6"/>
    <x v="6"/>
  </r>
  <r>
    <n v="10564"/>
    <x v="22"/>
    <x v="2"/>
    <x v="0"/>
    <x v="1"/>
    <x v="0"/>
    <x v="0"/>
    <n v="4.99"/>
    <x v="2"/>
    <x v="2"/>
  </r>
  <r>
    <n v="10565"/>
    <x v="23"/>
    <x v="3"/>
    <x v="0"/>
    <x v="1"/>
    <x v="0"/>
    <x v="0"/>
    <n v="12.99"/>
    <x v="13"/>
    <x v="18"/>
  </r>
  <r>
    <n v="10566"/>
    <x v="23"/>
    <x v="4"/>
    <x v="0"/>
    <x v="1"/>
    <x v="0"/>
    <x v="0"/>
    <n v="9.9499999999999993"/>
    <x v="4"/>
    <x v="4"/>
  </r>
  <r>
    <n v="10567"/>
    <x v="23"/>
    <x v="0"/>
    <x v="0"/>
    <x v="1"/>
    <x v="0"/>
    <x v="0"/>
    <n v="3.49"/>
    <x v="7"/>
    <x v="7"/>
  </r>
  <r>
    <n v="10568"/>
    <x v="23"/>
    <x v="1"/>
    <x v="0"/>
    <x v="1"/>
    <x v="0"/>
    <x v="0"/>
    <n v="2.95"/>
    <x v="6"/>
    <x v="6"/>
  </r>
  <r>
    <n v="10569"/>
    <x v="23"/>
    <x v="2"/>
    <x v="0"/>
    <x v="1"/>
    <x v="0"/>
    <x v="0"/>
    <n v="4.99"/>
    <x v="2"/>
    <x v="2"/>
  </r>
  <r>
    <n v="10570"/>
    <x v="24"/>
    <x v="3"/>
    <x v="0"/>
    <x v="1"/>
    <x v="0"/>
    <x v="0"/>
    <n v="12.99"/>
    <x v="13"/>
    <x v="18"/>
  </r>
  <r>
    <n v="10571"/>
    <x v="24"/>
    <x v="4"/>
    <x v="0"/>
    <x v="1"/>
    <x v="0"/>
    <x v="0"/>
    <n v="9.9499999999999993"/>
    <x v="4"/>
    <x v="4"/>
  </r>
  <r>
    <n v="10572"/>
    <x v="24"/>
    <x v="0"/>
    <x v="0"/>
    <x v="1"/>
    <x v="4"/>
    <x v="4"/>
    <n v="3.49"/>
    <x v="0"/>
    <x v="0"/>
  </r>
  <r>
    <n v="10573"/>
    <x v="24"/>
    <x v="1"/>
    <x v="0"/>
    <x v="1"/>
    <x v="4"/>
    <x v="4"/>
    <n v="2.95"/>
    <x v="6"/>
    <x v="6"/>
  </r>
  <r>
    <n v="10574"/>
    <x v="24"/>
    <x v="2"/>
    <x v="0"/>
    <x v="1"/>
    <x v="4"/>
    <x v="4"/>
    <n v="4.99"/>
    <x v="2"/>
    <x v="2"/>
  </r>
  <r>
    <n v="10575"/>
    <x v="25"/>
    <x v="3"/>
    <x v="0"/>
    <x v="1"/>
    <x v="4"/>
    <x v="4"/>
    <n v="12.99"/>
    <x v="8"/>
    <x v="8"/>
  </r>
  <r>
    <n v="10576"/>
    <x v="25"/>
    <x v="4"/>
    <x v="0"/>
    <x v="1"/>
    <x v="4"/>
    <x v="4"/>
    <n v="9.9499999999999993"/>
    <x v="4"/>
    <x v="4"/>
  </r>
  <r>
    <n v="10577"/>
    <x v="25"/>
    <x v="0"/>
    <x v="0"/>
    <x v="1"/>
    <x v="4"/>
    <x v="4"/>
    <n v="3.49"/>
    <x v="7"/>
    <x v="7"/>
  </r>
  <r>
    <n v="10578"/>
    <x v="25"/>
    <x v="1"/>
    <x v="0"/>
    <x v="1"/>
    <x v="4"/>
    <x v="4"/>
    <n v="2.95"/>
    <x v="6"/>
    <x v="6"/>
  </r>
  <r>
    <n v="10579"/>
    <x v="25"/>
    <x v="2"/>
    <x v="0"/>
    <x v="1"/>
    <x v="4"/>
    <x v="4"/>
    <n v="4.99"/>
    <x v="2"/>
    <x v="2"/>
  </r>
  <r>
    <n v="10580"/>
    <x v="26"/>
    <x v="3"/>
    <x v="0"/>
    <x v="1"/>
    <x v="4"/>
    <x v="4"/>
    <n v="12.99"/>
    <x v="8"/>
    <x v="8"/>
  </r>
  <r>
    <n v="10581"/>
    <x v="26"/>
    <x v="4"/>
    <x v="0"/>
    <x v="1"/>
    <x v="4"/>
    <x v="4"/>
    <n v="9.9499999999999993"/>
    <x v="4"/>
    <x v="4"/>
  </r>
  <r>
    <n v="10582"/>
    <x v="26"/>
    <x v="0"/>
    <x v="0"/>
    <x v="1"/>
    <x v="0"/>
    <x v="0"/>
    <n v="3.49"/>
    <x v="7"/>
    <x v="7"/>
  </r>
  <r>
    <n v="10583"/>
    <x v="26"/>
    <x v="1"/>
    <x v="0"/>
    <x v="1"/>
    <x v="0"/>
    <x v="0"/>
    <n v="2.95"/>
    <x v="6"/>
    <x v="6"/>
  </r>
  <r>
    <n v="10584"/>
    <x v="26"/>
    <x v="2"/>
    <x v="0"/>
    <x v="1"/>
    <x v="0"/>
    <x v="0"/>
    <n v="4.99"/>
    <x v="2"/>
    <x v="2"/>
  </r>
  <r>
    <n v="10585"/>
    <x v="27"/>
    <x v="3"/>
    <x v="0"/>
    <x v="1"/>
    <x v="0"/>
    <x v="0"/>
    <n v="12.99"/>
    <x v="10"/>
    <x v="15"/>
  </r>
  <r>
    <n v="10586"/>
    <x v="27"/>
    <x v="4"/>
    <x v="0"/>
    <x v="1"/>
    <x v="0"/>
    <x v="0"/>
    <n v="9.9499999999999993"/>
    <x v="4"/>
    <x v="4"/>
  </r>
  <r>
    <n v="10590"/>
    <x v="28"/>
    <x v="3"/>
    <x v="0"/>
    <x v="1"/>
    <x v="0"/>
    <x v="0"/>
    <n v="12.99"/>
    <x v="5"/>
    <x v="5"/>
  </r>
  <r>
    <n v="10591"/>
    <x v="28"/>
    <x v="4"/>
    <x v="0"/>
    <x v="1"/>
    <x v="0"/>
    <x v="0"/>
    <n v="9.9499999999999993"/>
    <x v="4"/>
    <x v="4"/>
  </r>
  <r>
    <n v="10592"/>
    <x v="28"/>
    <x v="0"/>
    <x v="0"/>
    <x v="1"/>
    <x v="0"/>
    <x v="0"/>
    <n v="3.49"/>
    <x v="0"/>
    <x v="0"/>
  </r>
  <r>
    <n v="10593"/>
    <x v="28"/>
    <x v="1"/>
    <x v="0"/>
    <x v="1"/>
    <x v="0"/>
    <x v="0"/>
    <n v="2.95"/>
    <x v="6"/>
    <x v="6"/>
  </r>
  <r>
    <n v="10594"/>
    <x v="28"/>
    <x v="2"/>
    <x v="0"/>
    <x v="1"/>
    <x v="0"/>
    <x v="0"/>
    <n v="4.99"/>
    <x v="2"/>
    <x v="2"/>
  </r>
  <r>
    <n v="10595"/>
    <x v="29"/>
    <x v="3"/>
    <x v="0"/>
    <x v="1"/>
    <x v="0"/>
    <x v="0"/>
    <n v="12.99"/>
    <x v="10"/>
    <x v="15"/>
  </r>
  <r>
    <n v="10596"/>
    <x v="29"/>
    <x v="4"/>
    <x v="0"/>
    <x v="1"/>
    <x v="0"/>
    <x v="0"/>
    <n v="9.9499999999999993"/>
    <x v="4"/>
    <x v="4"/>
  </r>
  <r>
    <n v="10597"/>
    <x v="29"/>
    <x v="0"/>
    <x v="0"/>
    <x v="1"/>
    <x v="0"/>
    <x v="0"/>
    <n v="3.49"/>
    <x v="0"/>
    <x v="0"/>
  </r>
  <r>
    <n v="10598"/>
    <x v="29"/>
    <x v="1"/>
    <x v="0"/>
    <x v="1"/>
    <x v="0"/>
    <x v="0"/>
    <n v="2.95"/>
    <x v="6"/>
    <x v="6"/>
  </r>
  <r>
    <n v="10599"/>
    <x v="29"/>
    <x v="2"/>
    <x v="0"/>
    <x v="1"/>
    <x v="0"/>
    <x v="0"/>
    <n v="4.99"/>
    <x v="2"/>
    <x v="2"/>
  </r>
  <r>
    <n v="10600"/>
    <x v="30"/>
    <x v="3"/>
    <x v="0"/>
    <x v="1"/>
    <x v="0"/>
    <x v="0"/>
    <n v="12.99"/>
    <x v="8"/>
    <x v="8"/>
  </r>
  <r>
    <n v="10601"/>
    <x v="30"/>
    <x v="4"/>
    <x v="0"/>
    <x v="1"/>
    <x v="0"/>
    <x v="0"/>
    <n v="9.9499999999999993"/>
    <x v="4"/>
    <x v="4"/>
  </r>
  <r>
    <n v="10602"/>
    <x v="30"/>
    <x v="0"/>
    <x v="0"/>
    <x v="2"/>
    <x v="0"/>
    <x v="0"/>
    <n v="3.49"/>
    <x v="7"/>
    <x v="7"/>
  </r>
  <r>
    <n v="10603"/>
    <x v="30"/>
    <x v="1"/>
    <x v="0"/>
    <x v="2"/>
    <x v="0"/>
    <x v="0"/>
    <n v="2.95"/>
    <x v="6"/>
    <x v="6"/>
  </r>
  <r>
    <n v="10604"/>
    <x v="30"/>
    <x v="2"/>
    <x v="0"/>
    <x v="2"/>
    <x v="0"/>
    <x v="0"/>
    <n v="4.99"/>
    <x v="2"/>
    <x v="2"/>
  </r>
  <r>
    <n v="10605"/>
    <x v="31"/>
    <x v="3"/>
    <x v="0"/>
    <x v="2"/>
    <x v="0"/>
    <x v="0"/>
    <n v="12.99"/>
    <x v="10"/>
    <x v="15"/>
  </r>
  <r>
    <n v="10606"/>
    <x v="31"/>
    <x v="4"/>
    <x v="0"/>
    <x v="2"/>
    <x v="0"/>
    <x v="0"/>
    <n v="9.9499999999999993"/>
    <x v="4"/>
    <x v="4"/>
  </r>
  <r>
    <n v="10607"/>
    <x v="31"/>
    <x v="0"/>
    <x v="0"/>
    <x v="2"/>
    <x v="0"/>
    <x v="0"/>
    <n v="3.49"/>
    <x v="7"/>
    <x v="7"/>
  </r>
  <r>
    <n v="10608"/>
    <x v="31"/>
    <x v="1"/>
    <x v="0"/>
    <x v="0"/>
    <x v="0"/>
    <x v="0"/>
    <n v="2.95"/>
    <x v="6"/>
    <x v="6"/>
  </r>
  <r>
    <n v="10609"/>
    <x v="31"/>
    <x v="2"/>
    <x v="0"/>
    <x v="0"/>
    <x v="0"/>
    <x v="0"/>
    <n v="4.99"/>
    <x v="2"/>
    <x v="2"/>
  </r>
  <r>
    <n v="10610"/>
    <x v="32"/>
    <x v="3"/>
    <x v="0"/>
    <x v="0"/>
    <x v="0"/>
    <x v="0"/>
    <n v="12.99"/>
    <x v="3"/>
    <x v="3"/>
  </r>
  <r>
    <n v="10611"/>
    <x v="32"/>
    <x v="4"/>
    <x v="0"/>
    <x v="0"/>
    <x v="0"/>
    <x v="0"/>
    <n v="9.9499999999999993"/>
    <x v="4"/>
    <x v="4"/>
  </r>
  <r>
    <n v="10612"/>
    <x v="32"/>
    <x v="0"/>
    <x v="0"/>
    <x v="0"/>
    <x v="0"/>
    <x v="0"/>
    <n v="3.49"/>
    <x v="7"/>
    <x v="7"/>
  </r>
  <r>
    <n v="10613"/>
    <x v="32"/>
    <x v="1"/>
    <x v="0"/>
    <x v="0"/>
    <x v="0"/>
    <x v="0"/>
    <n v="2.95"/>
    <x v="6"/>
    <x v="6"/>
  </r>
  <r>
    <n v="10614"/>
    <x v="32"/>
    <x v="2"/>
    <x v="0"/>
    <x v="0"/>
    <x v="0"/>
    <x v="0"/>
    <n v="4.99"/>
    <x v="2"/>
    <x v="2"/>
  </r>
  <r>
    <n v="10615"/>
    <x v="33"/>
    <x v="3"/>
    <x v="0"/>
    <x v="0"/>
    <x v="0"/>
    <x v="0"/>
    <n v="12.99"/>
    <x v="3"/>
    <x v="3"/>
  </r>
  <r>
    <n v="10616"/>
    <x v="33"/>
    <x v="4"/>
    <x v="0"/>
    <x v="0"/>
    <x v="0"/>
    <x v="0"/>
    <n v="9.9499999999999993"/>
    <x v="4"/>
    <x v="4"/>
  </r>
  <r>
    <n v="10617"/>
    <x v="33"/>
    <x v="0"/>
    <x v="0"/>
    <x v="0"/>
    <x v="0"/>
    <x v="0"/>
    <n v="3.49"/>
    <x v="7"/>
    <x v="7"/>
  </r>
  <r>
    <n v="10618"/>
    <x v="33"/>
    <x v="1"/>
    <x v="0"/>
    <x v="0"/>
    <x v="0"/>
    <x v="0"/>
    <n v="2.95"/>
    <x v="6"/>
    <x v="6"/>
  </r>
  <r>
    <n v="10619"/>
    <x v="33"/>
    <x v="2"/>
    <x v="0"/>
    <x v="0"/>
    <x v="0"/>
    <x v="0"/>
    <n v="4.99"/>
    <x v="2"/>
    <x v="2"/>
  </r>
  <r>
    <n v="10620"/>
    <x v="34"/>
    <x v="3"/>
    <x v="0"/>
    <x v="0"/>
    <x v="0"/>
    <x v="0"/>
    <n v="12.99"/>
    <x v="16"/>
    <x v="21"/>
  </r>
  <r>
    <n v="10621"/>
    <x v="34"/>
    <x v="4"/>
    <x v="0"/>
    <x v="0"/>
    <x v="0"/>
    <x v="0"/>
    <n v="9.9499999999999993"/>
    <x v="4"/>
    <x v="4"/>
  </r>
  <r>
    <n v="10622"/>
    <x v="34"/>
    <x v="0"/>
    <x v="0"/>
    <x v="0"/>
    <x v="0"/>
    <x v="0"/>
    <n v="3.49"/>
    <x v="7"/>
    <x v="7"/>
  </r>
  <r>
    <n v="10623"/>
    <x v="34"/>
    <x v="1"/>
    <x v="0"/>
    <x v="0"/>
    <x v="0"/>
    <x v="0"/>
    <n v="2.95"/>
    <x v="1"/>
    <x v="1"/>
  </r>
  <r>
    <n v="10624"/>
    <x v="34"/>
    <x v="2"/>
    <x v="0"/>
    <x v="0"/>
    <x v="0"/>
    <x v="0"/>
    <n v="4.99"/>
    <x v="2"/>
    <x v="2"/>
  </r>
  <r>
    <n v="10625"/>
    <x v="35"/>
    <x v="3"/>
    <x v="0"/>
    <x v="0"/>
    <x v="0"/>
    <x v="0"/>
    <n v="12.99"/>
    <x v="3"/>
    <x v="3"/>
  </r>
  <r>
    <n v="10626"/>
    <x v="35"/>
    <x v="4"/>
    <x v="0"/>
    <x v="0"/>
    <x v="0"/>
    <x v="0"/>
    <n v="9.9499999999999993"/>
    <x v="4"/>
    <x v="4"/>
  </r>
  <r>
    <n v="10627"/>
    <x v="35"/>
    <x v="0"/>
    <x v="0"/>
    <x v="0"/>
    <x v="0"/>
    <x v="0"/>
    <n v="3.49"/>
    <x v="7"/>
    <x v="7"/>
  </r>
  <r>
    <n v="10628"/>
    <x v="35"/>
    <x v="1"/>
    <x v="0"/>
    <x v="0"/>
    <x v="2"/>
    <x v="2"/>
    <n v="2.95"/>
    <x v="6"/>
    <x v="6"/>
  </r>
  <r>
    <n v="10629"/>
    <x v="35"/>
    <x v="2"/>
    <x v="0"/>
    <x v="0"/>
    <x v="2"/>
    <x v="2"/>
    <n v="4.99"/>
    <x v="2"/>
    <x v="2"/>
  </r>
  <r>
    <n v="10630"/>
    <x v="36"/>
    <x v="3"/>
    <x v="0"/>
    <x v="2"/>
    <x v="2"/>
    <x v="2"/>
    <n v="12.99"/>
    <x v="3"/>
    <x v="3"/>
  </r>
  <r>
    <n v="10631"/>
    <x v="36"/>
    <x v="4"/>
    <x v="0"/>
    <x v="0"/>
    <x v="2"/>
    <x v="2"/>
    <n v="9.9499999999999993"/>
    <x v="4"/>
    <x v="4"/>
  </r>
  <r>
    <n v="10632"/>
    <x v="36"/>
    <x v="0"/>
    <x v="0"/>
    <x v="0"/>
    <x v="2"/>
    <x v="2"/>
    <n v="3.49"/>
    <x v="7"/>
    <x v="7"/>
  </r>
  <r>
    <n v="10633"/>
    <x v="36"/>
    <x v="1"/>
    <x v="0"/>
    <x v="0"/>
    <x v="2"/>
    <x v="2"/>
    <n v="2.95"/>
    <x v="6"/>
    <x v="6"/>
  </r>
  <r>
    <n v="10634"/>
    <x v="36"/>
    <x v="2"/>
    <x v="0"/>
    <x v="0"/>
    <x v="2"/>
    <x v="2"/>
    <n v="4.99"/>
    <x v="2"/>
    <x v="2"/>
  </r>
  <r>
    <n v="10635"/>
    <x v="37"/>
    <x v="3"/>
    <x v="0"/>
    <x v="0"/>
    <x v="2"/>
    <x v="2"/>
    <n v="12.99"/>
    <x v="5"/>
    <x v="5"/>
  </r>
  <r>
    <n v="10636"/>
    <x v="37"/>
    <x v="4"/>
    <x v="0"/>
    <x v="0"/>
    <x v="2"/>
    <x v="2"/>
    <n v="9.9499999999999993"/>
    <x v="17"/>
    <x v="22"/>
  </r>
  <r>
    <n v="10637"/>
    <x v="37"/>
    <x v="0"/>
    <x v="0"/>
    <x v="0"/>
    <x v="2"/>
    <x v="2"/>
    <n v="3.49"/>
    <x v="7"/>
    <x v="7"/>
  </r>
  <r>
    <n v="10638"/>
    <x v="37"/>
    <x v="1"/>
    <x v="0"/>
    <x v="0"/>
    <x v="2"/>
    <x v="2"/>
    <n v="2.95"/>
    <x v="6"/>
    <x v="6"/>
  </r>
  <r>
    <n v="10639"/>
    <x v="37"/>
    <x v="2"/>
    <x v="0"/>
    <x v="0"/>
    <x v="2"/>
    <x v="2"/>
    <n v="4.99"/>
    <x v="2"/>
    <x v="2"/>
  </r>
  <r>
    <n v="10640"/>
    <x v="38"/>
    <x v="3"/>
    <x v="0"/>
    <x v="0"/>
    <x v="2"/>
    <x v="2"/>
    <n v="12.99"/>
    <x v="10"/>
    <x v="15"/>
  </r>
  <r>
    <n v="10641"/>
    <x v="38"/>
    <x v="4"/>
    <x v="0"/>
    <x v="0"/>
    <x v="2"/>
    <x v="2"/>
    <n v="9.9499999999999993"/>
    <x v="17"/>
    <x v="22"/>
  </r>
  <r>
    <n v="10642"/>
    <x v="38"/>
    <x v="0"/>
    <x v="0"/>
    <x v="2"/>
    <x v="2"/>
    <x v="2"/>
    <n v="3.49"/>
    <x v="7"/>
    <x v="7"/>
  </r>
  <r>
    <n v="10643"/>
    <x v="38"/>
    <x v="1"/>
    <x v="0"/>
    <x v="2"/>
    <x v="2"/>
    <x v="2"/>
    <n v="2.95"/>
    <x v="6"/>
    <x v="6"/>
  </r>
  <r>
    <n v="10644"/>
    <x v="38"/>
    <x v="2"/>
    <x v="0"/>
    <x v="2"/>
    <x v="2"/>
    <x v="2"/>
    <n v="4.99"/>
    <x v="2"/>
    <x v="2"/>
  </r>
  <r>
    <n v="10645"/>
    <x v="39"/>
    <x v="3"/>
    <x v="0"/>
    <x v="2"/>
    <x v="2"/>
    <x v="2"/>
    <n v="12.99"/>
    <x v="3"/>
    <x v="3"/>
  </r>
  <r>
    <n v="10646"/>
    <x v="39"/>
    <x v="4"/>
    <x v="0"/>
    <x v="2"/>
    <x v="2"/>
    <x v="2"/>
    <n v="9.9499999999999993"/>
    <x v="17"/>
    <x v="22"/>
  </r>
  <r>
    <n v="10647"/>
    <x v="39"/>
    <x v="0"/>
    <x v="0"/>
    <x v="0"/>
    <x v="2"/>
    <x v="2"/>
    <n v="3.49"/>
    <x v="7"/>
    <x v="7"/>
  </r>
  <r>
    <n v="10648"/>
    <x v="39"/>
    <x v="1"/>
    <x v="0"/>
    <x v="0"/>
    <x v="2"/>
    <x v="2"/>
    <n v="2.95"/>
    <x v="1"/>
    <x v="1"/>
  </r>
  <r>
    <n v="10649"/>
    <x v="39"/>
    <x v="2"/>
    <x v="0"/>
    <x v="0"/>
    <x v="2"/>
    <x v="2"/>
    <n v="4.99"/>
    <x v="2"/>
    <x v="2"/>
  </r>
  <r>
    <n v="10650"/>
    <x v="40"/>
    <x v="3"/>
    <x v="0"/>
    <x v="0"/>
    <x v="2"/>
    <x v="2"/>
    <n v="12.99"/>
    <x v="16"/>
    <x v="21"/>
  </r>
  <r>
    <n v="10651"/>
    <x v="40"/>
    <x v="4"/>
    <x v="0"/>
    <x v="0"/>
    <x v="2"/>
    <x v="2"/>
    <n v="9.9499999999999993"/>
    <x v="17"/>
    <x v="22"/>
  </r>
  <r>
    <n v="10652"/>
    <x v="40"/>
    <x v="0"/>
    <x v="0"/>
    <x v="0"/>
    <x v="2"/>
    <x v="2"/>
    <n v="3.49"/>
    <x v="11"/>
    <x v="16"/>
  </r>
  <r>
    <n v="10653"/>
    <x v="40"/>
    <x v="1"/>
    <x v="0"/>
    <x v="0"/>
    <x v="2"/>
    <x v="2"/>
    <n v="2.95"/>
    <x v="1"/>
    <x v="1"/>
  </r>
  <r>
    <n v="10654"/>
    <x v="40"/>
    <x v="2"/>
    <x v="0"/>
    <x v="0"/>
    <x v="2"/>
    <x v="2"/>
    <n v="4.99"/>
    <x v="2"/>
    <x v="2"/>
  </r>
  <r>
    <n v="10655"/>
    <x v="41"/>
    <x v="3"/>
    <x v="0"/>
    <x v="0"/>
    <x v="2"/>
    <x v="2"/>
    <n v="12.99"/>
    <x v="18"/>
    <x v="23"/>
  </r>
  <r>
    <n v="10656"/>
    <x v="41"/>
    <x v="4"/>
    <x v="0"/>
    <x v="0"/>
    <x v="2"/>
    <x v="2"/>
    <n v="9.9499999999999993"/>
    <x v="17"/>
    <x v="22"/>
  </r>
  <r>
    <n v="10657"/>
    <x v="41"/>
    <x v="0"/>
    <x v="0"/>
    <x v="0"/>
    <x v="2"/>
    <x v="2"/>
    <n v="3.49"/>
    <x v="11"/>
    <x v="16"/>
  </r>
  <r>
    <n v="10658"/>
    <x v="41"/>
    <x v="1"/>
    <x v="0"/>
    <x v="2"/>
    <x v="2"/>
    <x v="2"/>
    <n v="2.95"/>
    <x v="1"/>
    <x v="1"/>
  </r>
  <r>
    <n v="10659"/>
    <x v="41"/>
    <x v="2"/>
    <x v="0"/>
    <x v="2"/>
    <x v="2"/>
    <x v="2"/>
    <n v="4.99"/>
    <x v="2"/>
    <x v="2"/>
  </r>
  <r>
    <n v="10660"/>
    <x v="42"/>
    <x v="3"/>
    <x v="1"/>
    <x v="2"/>
    <x v="2"/>
    <x v="2"/>
    <n v="12.99"/>
    <x v="19"/>
    <x v="24"/>
  </r>
  <r>
    <n v="10661"/>
    <x v="42"/>
    <x v="4"/>
    <x v="1"/>
    <x v="2"/>
    <x v="2"/>
    <x v="2"/>
    <n v="9.9499999999999993"/>
    <x v="17"/>
    <x v="22"/>
  </r>
  <r>
    <n v="10662"/>
    <x v="42"/>
    <x v="0"/>
    <x v="1"/>
    <x v="2"/>
    <x v="2"/>
    <x v="2"/>
    <n v="3.49"/>
    <x v="7"/>
    <x v="7"/>
  </r>
  <r>
    <n v="10663"/>
    <x v="42"/>
    <x v="1"/>
    <x v="1"/>
    <x v="2"/>
    <x v="2"/>
    <x v="2"/>
    <n v="2.95"/>
    <x v="1"/>
    <x v="1"/>
  </r>
  <r>
    <n v="10664"/>
    <x v="42"/>
    <x v="2"/>
    <x v="1"/>
    <x v="2"/>
    <x v="2"/>
    <x v="2"/>
    <n v="4.99"/>
    <x v="2"/>
    <x v="2"/>
  </r>
  <r>
    <n v="10665"/>
    <x v="43"/>
    <x v="3"/>
    <x v="1"/>
    <x v="2"/>
    <x v="2"/>
    <x v="2"/>
    <n v="12.99"/>
    <x v="20"/>
    <x v="25"/>
  </r>
  <r>
    <n v="10666"/>
    <x v="43"/>
    <x v="4"/>
    <x v="1"/>
    <x v="2"/>
    <x v="2"/>
    <x v="2"/>
    <n v="9.9499999999999993"/>
    <x v="17"/>
    <x v="22"/>
  </r>
  <r>
    <n v="10667"/>
    <x v="43"/>
    <x v="0"/>
    <x v="1"/>
    <x v="2"/>
    <x v="2"/>
    <x v="2"/>
    <n v="3.49"/>
    <x v="7"/>
    <x v="7"/>
  </r>
  <r>
    <n v="10668"/>
    <x v="43"/>
    <x v="1"/>
    <x v="1"/>
    <x v="2"/>
    <x v="2"/>
    <x v="2"/>
    <n v="2.95"/>
    <x v="1"/>
    <x v="1"/>
  </r>
  <r>
    <n v="10669"/>
    <x v="43"/>
    <x v="2"/>
    <x v="1"/>
    <x v="2"/>
    <x v="2"/>
    <x v="2"/>
    <n v="4.99"/>
    <x v="2"/>
    <x v="2"/>
  </r>
  <r>
    <n v="10670"/>
    <x v="44"/>
    <x v="3"/>
    <x v="1"/>
    <x v="2"/>
    <x v="2"/>
    <x v="2"/>
    <n v="12.99"/>
    <x v="6"/>
    <x v="26"/>
  </r>
  <r>
    <n v="10671"/>
    <x v="44"/>
    <x v="4"/>
    <x v="1"/>
    <x v="2"/>
    <x v="2"/>
    <x v="2"/>
    <n v="9.9499999999999993"/>
    <x v="17"/>
    <x v="22"/>
  </r>
  <r>
    <n v="10672"/>
    <x v="44"/>
    <x v="0"/>
    <x v="1"/>
    <x v="2"/>
    <x v="2"/>
    <x v="2"/>
    <n v="3.49"/>
    <x v="7"/>
    <x v="7"/>
  </r>
  <r>
    <n v="10673"/>
    <x v="44"/>
    <x v="1"/>
    <x v="1"/>
    <x v="2"/>
    <x v="2"/>
    <x v="2"/>
    <n v="2.95"/>
    <x v="1"/>
    <x v="1"/>
  </r>
  <r>
    <n v="10674"/>
    <x v="44"/>
    <x v="2"/>
    <x v="1"/>
    <x v="2"/>
    <x v="2"/>
    <x v="2"/>
    <n v="4.99"/>
    <x v="2"/>
    <x v="2"/>
  </r>
  <r>
    <n v="10675"/>
    <x v="45"/>
    <x v="3"/>
    <x v="1"/>
    <x v="2"/>
    <x v="2"/>
    <x v="2"/>
    <n v="12.99"/>
    <x v="6"/>
    <x v="26"/>
  </r>
  <r>
    <n v="10676"/>
    <x v="45"/>
    <x v="4"/>
    <x v="1"/>
    <x v="2"/>
    <x v="2"/>
    <x v="2"/>
    <n v="9.9499999999999993"/>
    <x v="21"/>
    <x v="27"/>
  </r>
  <r>
    <n v="10677"/>
    <x v="45"/>
    <x v="0"/>
    <x v="1"/>
    <x v="2"/>
    <x v="2"/>
    <x v="2"/>
    <n v="3.49"/>
    <x v="7"/>
    <x v="7"/>
  </r>
  <r>
    <n v="10678"/>
    <x v="45"/>
    <x v="1"/>
    <x v="1"/>
    <x v="2"/>
    <x v="2"/>
    <x v="2"/>
    <n v="2.95"/>
    <x v="1"/>
    <x v="1"/>
  </r>
  <r>
    <n v="10679"/>
    <x v="45"/>
    <x v="2"/>
    <x v="1"/>
    <x v="2"/>
    <x v="2"/>
    <x v="2"/>
    <n v="4.99"/>
    <x v="2"/>
    <x v="2"/>
  </r>
  <r>
    <n v="10680"/>
    <x v="46"/>
    <x v="3"/>
    <x v="1"/>
    <x v="2"/>
    <x v="2"/>
    <x v="2"/>
    <n v="12.99"/>
    <x v="20"/>
    <x v="25"/>
  </r>
  <r>
    <n v="10681"/>
    <x v="46"/>
    <x v="4"/>
    <x v="1"/>
    <x v="2"/>
    <x v="2"/>
    <x v="2"/>
    <n v="9.9499999999999993"/>
    <x v="21"/>
    <x v="27"/>
  </r>
  <r>
    <n v="10682"/>
    <x v="46"/>
    <x v="0"/>
    <x v="1"/>
    <x v="2"/>
    <x v="2"/>
    <x v="2"/>
    <n v="3.49"/>
    <x v="7"/>
    <x v="7"/>
  </r>
  <r>
    <n v="10683"/>
    <x v="46"/>
    <x v="1"/>
    <x v="1"/>
    <x v="2"/>
    <x v="2"/>
    <x v="2"/>
    <n v="2.95"/>
    <x v="6"/>
    <x v="6"/>
  </r>
  <r>
    <n v="10684"/>
    <x v="46"/>
    <x v="2"/>
    <x v="1"/>
    <x v="2"/>
    <x v="2"/>
    <x v="2"/>
    <n v="4.99"/>
    <x v="2"/>
    <x v="2"/>
  </r>
  <r>
    <n v="10685"/>
    <x v="47"/>
    <x v="3"/>
    <x v="1"/>
    <x v="2"/>
    <x v="2"/>
    <x v="2"/>
    <n v="12.99"/>
    <x v="6"/>
    <x v="26"/>
  </r>
  <r>
    <n v="10686"/>
    <x v="47"/>
    <x v="4"/>
    <x v="1"/>
    <x v="2"/>
    <x v="2"/>
    <x v="2"/>
    <n v="9.9499999999999993"/>
    <x v="21"/>
    <x v="27"/>
  </r>
  <r>
    <n v="10687"/>
    <x v="47"/>
    <x v="0"/>
    <x v="1"/>
    <x v="2"/>
    <x v="3"/>
    <x v="3"/>
    <n v="3.49"/>
    <x v="7"/>
    <x v="7"/>
  </r>
  <r>
    <n v="10688"/>
    <x v="47"/>
    <x v="1"/>
    <x v="1"/>
    <x v="2"/>
    <x v="3"/>
    <x v="3"/>
    <n v="2.95"/>
    <x v="6"/>
    <x v="6"/>
  </r>
  <r>
    <n v="10689"/>
    <x v="47"/>
    <x v="2"/>
    <x v="1"/>
    <x v="2"/>
    <x v="3"/>
    <x v="3"/>
    <n v="4.99"/>
    <x v="2"/>
    <x v="2"/>
  </r>
  <r>
    <n v="10690"/>
    <x v="48"/>
    <x v="3"/>
    <x v="1"/>
    <x v="2"/>
    <x v="3"/>
    <x v="3"/>
    <n v="12.99"/>
    <x v="6"/>
    <x v="26"/>
  </r>
  <r>
    <n v="10691"/>
    <x v="48"/>
    <x v="4"/>
    <x v="1"/>
    <x v="2"/>
    <x v="3"/>
    <x v="3"/>
    <n v="9.9499999999999993"/>
    <x v="22"/>
    <x v="28"/>
  </r>
  <r>
    <n v="10692"/>
    <x v="48"/>
    <x v="0"/>
    <x v="1"/>
    <x v="2"/>
    <x v="3"/>
    <x v="3"/>
    <n v="3.49"/>
    <x v="7"/>
    <x v="7"/>
  </r>
  <r>
    <n v="10693"/>
    <x v="48"/>
    <x v="1"/>
    <x v="1"/>
    <x v="2"/>
    <x v="3"/>
    <x v="3"/>
    <n v="2.95"/>
    <x v="6"/>
    <x v="6"/>
  </r>
  <r>
    <n v="10694"/>
    <x v="48"/>
    <x v="2"/>
    <x v="1"/>
    <x v="2"/>
    <x v="3"/>
    <x v="3"/>
    <n v="4.99"/>
    <x v="2"/>
    <x v="2"/>
  </r>
  <r>
    <n v="10695"/>
    <x v="49"/>
    <x v="3"/>
    <x v="1"/>
    <x v="2"/>
    <x v="3"/>
    <x v="3"/>
    <n v="12.99"/>
    <x v="23"/>
    <x v="29"/>
  </r>
  <r>
    <n v="10696"/>
    <x v="49"/>
    <x v="4"/>
    <x v="1"/>
    <x v="2"/>
    <x v="3"/>
    <x v="3"/>
    <n v="9.9499999999999993"/>
    <x v="24"/>
    <x v="30"/>
  </r>
  <r>
    <n v="10697"/>
    <x v="49"/>
    <x v="0"/>
    <x v="1"/>
    <x v="2"/>
    <x v="3"/>
    <x v="3"/>
    <n v="3.49"/>
    <x v="7"/>
    <x v="7"/>
  </r>
  <r>
    <n v="10698"/>
    <x v="49"/>
    <x v="1"/>
    <x v="1"/>
    <x v="2"/>
    <x v="3"/>
    <x v="3"/>
    <n v="2.95"/>
    <x v="6"/>
    <x v="6"/>
  </r>
  <r>
    <n v="10699"/>
    <x v="49"/>
    <x v="2"/>
    <x v="1"/>
    <x v="2"/>
    <x v="3"/>
    <x v="3"/>
    <n v="4.99"/>
    <x v="2"/>
    <x v="2"/>
  </r>
  <r>
    <n v="10700"/>
    <x v="50"/>
    <x v="3"/>
    <x v="1"/>
    <x v="2"/>
    <x v="3"/>
    <x v="3"/>
    <n v="12.99"/>
    <x v="23"/>
    <x v="29"/>
  </r>
  <r>
    <n v="10701"/>
    <x v="50"/>
    <x v="4"/>
    <x v="1"/>
    <x v="2"/>
    <x v="3"/>
    <x v="3"/>
    <n v="9.9499999999999993"/>
    <x v="24"/>
    <x v="30"/>
  </r>
  <r>
    <n v="10702"/>
    <x v="50"/>
    <x v="0"/>
    <x v="1"/>
    <x v="2"/>
    <x v="3"/>
    <x v="3"/>
    <n v="3.49"/>
    <x v="7"/>
    <x v="7"/>
  </r>
  <r>
    <n v="10703"/>
    <x v="50"/>
    <x v="1"/>
    <x v="1"/>
    <x v="0"/>
    <x v="3"/>
    <x v="3"/>
    <n v="2.95"/>
    <x v="6"/>
    <x v="6"/>
  </r>
  <r>
    <n v="10704"/>
    <x v="50"/>
    <x v="2"/>
    <x v="2"/>
    <x v="0"/>
    <x v="3"/>
    <x v="3"/>
    <n v="4.99"/>
    <x v="2"/>
    <x v="2"/>
  </r>
  <r>
    <n v="10705"/>
    <x v="51"/>
    <x v="3"/>
    <x v="2"/>
    <x v="0"/>
    <x v="3"/>
    <x v="3"/>
    <n v="12.99"/>
    <x v="25"/>
    <x v="31"/>
  </r>
  <r>
    <n v="10706"/>
    <x v="51"/>
    <x v="4"/>
    <x v="2"/>
    <x v="0"/>
    <x v="3"/>
    <x v="3"/>
    <n v="9.9499999999999993"/>
    <x v="26"/>
    <x v="32"/>
  </r>
  <r>
    <n v="10707"/>
    <x v="51"/>
    <x v="0"/>
    <x v="2"/>
    <x v="0"/>
    <x v="3"/>
    <x v="3"/>
    <n v="3.49"/>
    <x v="7"/>
    <x v="7"/>
  </r>
  <r>
    <n v="10708"/>
    <x v="51"/>
    <x v="1"/>
    <x v="2"/>
    <x v="0"/>
    <x v="3"/>
    <x v="3"/>
    <n v="2.95"/>
    <x v="6"/>
    <x v="6"/>
  </r>
  <r>
    <n v="10709"/>
    <x v="51"/>
    <x v="2"/>
    <x v="2"/>
    <x v="0"/>
    <x v="3"/>
    <x v="3"/>
    <n v="4.99"/>
    <x v="2"/>
    <x v="2"/>
  </r>
  <r>
    <n v="10710"/>
    <x v="52"/>
    <x v="3"/>
    <x v="2"/>
    <x v="0"/>
    <x v="3"/>
    <x v="3"/>
    <n v="12.99"/>
    <x v="27"/>
    <x v="33"/>
  </r>
  <r>
    <n v="10711"/>
    <x v="52"/>
    <x v="4"/>
    <x v="2"/>
    <x v="0"/>
    <x v="3"/>
    <x v="3"/>
    <n v="9.9499999999999993"/>
    <x v="24"/>
    <x v="30"/>
  </r>
  <r>
    <n v="10712"/>
    <x v="52"/>
    <x v="0"/>
    <x v="2"/>
    <x v="0"/>
    <x v="3"/>
    <x v="3"/>
    <n v="3.49"/>
    <x v="7"/>
    <x v="7"/>
  </r>
  <r>
    <n v="10713"/>
    <x v="52"/>
    <x v="1"/>
    <x v="2"/>
    <x v="0"/>
    <x v="3"/>
    <x v="3"/>
    <n v="2.95"/>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D2FB34-30D6-4E83-8D2B-A243DB3B2B6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9" firstHeaderRow="1" firstDataRow="1" firstDataCol="1"/>
  <pivotFields count="10">
    <pivotField showAll="0"/>
    <pivotField numFmtId="14"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dataField="1"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items count="35">
        <item x="2"/>
        <item x="6"/>
        <item x="0"/>
        <item x="4"/>
        <item x="1"/>
        <item x="7"/>
        <item x="22"/>
        <item x="16"/>
        <item x="27"/>
        <item x="28"/>
        <item x="30"/>
        <item x="32"/>
        <item x="12"/>
        <item x="20"/>
        <item x="14"/>
        <item x="19"/>
        <item x="17"/>
        <item x="18"/>
        <item x="9"/>
        <item x="8"/>
        <item x="15"/>
        <item x="5"/>
        <item x="3"/>
        <item x="21"/>
        <item x="23"/>
        <item x="24"/>
        <item x="25"/>
        <item x="26"/>
        <item x="29"/>
        <item x="31"/>
        <item x="33"/>
        <item x="13"/>
        <item x="10"/>
        <item x="11"/>
        <item t="default"/>
      </items>
    </pivotField>
  </pivotFields>
  <rowFields count="1">
    <field x="2"/>
  </rowFields>
  <rowItems count="6">
    <i>
      <x/>
    </i>
    <i>
      <x v="3"/>
    </i>
    <i>
      <x v="1"/>
    </i>
    <i>
      <x v="2"/>
    </i>
    <i>
      <x v="4"/>
    </i>
    <i t="grand">
      <x/>
    </i>
  </rowItems>
  <colItems count="1">
    <i/>
  </colItems>
  <dataFields count="1">
    <dataField name="Sum of Quantity"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1E3ED-4003-490C-9C2B-DE81E7928CEF}" name="PivotTable2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37:J43" firstHeaderRow="1" firstDataRow="1" firstDataCol="1"/>
  <pivotFields count="10">
    <pivotField showAll="0"/>
    <pivotField numFmtId="14" showAll="0"/>
    <pivotField showAll="0">
      <items count="6">
        <item x="1"/>
        <item x="3"/>
        <item x="4"/>
        <item x="0"/>
        <item x="2"/>
        <item t="default"/>
      </items>
    </pivotField>
    <pivotField showAll="0"/>
    <pivotField showAll="0">
      <items count="4">
        <item x="2"/>
        <item x="1"/>
        <item x="0"/>
        <item t="default"/>
      </items>
    </pivotField>
    <pivotField axis="axisRow"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Fields count="1">
    <field x="5"/>
  </rowFields>
  <rowItems count="6">
    <i>
      <x/>
    </i>
    <i>
      <x v="1"/>
    </i>
    <i>
      <x v="2"/>
    </i>
    <i>
      <x v="3"/>
    </i>
    <i>
      <x v="4"/>
    </i>
    <i t="grand">
      <x/>
    </i>
  </rowItems>
  <colItems count="1">
    <i/>
  </colItems>
  <dataFields count="1">
    <dataField name="Sum of Total revenue" fld="9"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94F947-EEB0-4650-B2BB-DA003915F22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60:J64" firstHeaderRow="1" firstDataRow="1" firstDataCol="1"/>
  <pivotFields count="10">
    <pivotField showAll="0"/>
    <pivotField numFmtId="14" showAll="0"/>
    <pivotField showAll="0">
      <items count="6">
        <item x="1"/>
        <item x="3"/>
        <item x="4"/>
        <item x="0"/>
        <item x="2"/>
        <item t="default"/>
      </items>
    </pivotField>
    <pivotField axis="axisRow" showAll="0">
      <items count="4">
        <item x="2"/>
        <item x="1"/>
        <item x="0"/>
        <item t="default"/>
      </items>
    </pivotField>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Fields count="1">
    <field x="3"/>
  </rowFields>
  <rowItems count="4">
    <i>
      <x/>
    </i>
    <i>
      <x v="1"/>
    </i>
    <i>
      <x v="2"/>
    </i>
    <i t="grand">
      <x/>
    </i>
  </rowItems>
  <colItems count="1">
    <i/>
  </colItems>
  <dataFields count="1">
    <dataField name="Sum of Total revenue" fld="9" baseField="0" baseItem="0"/>
  </dataFields>
  <formats count="1">
    <format dxfId="1">
      <pivotArea collapsedLevelsAreSubtotals="1" fieldPosition="0">
        <references count="1">
          <reference field="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CA7B8C-A0B7-40E0-B90E-5AE571856406}"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54:J58" firstHeaderRow="1" firstDataRow="1" firstDataCol="1"/>
  <pivotFields count="10">
    <pivotField showAll="0"/>
    <pivotField numFmtId="14" showAll="0"/>
    <pivotField showAll="0">
      <items count="6">
        <item x="1"/>
        <item x="3"/>
        <item x="4"/>
        <item x="0"/>
        <item x="2"/>
        <item t="default"/>
      </items>
    </pivotField>
    <pivotField axis="axisRow" showAll="0">
      <items count="4">
        <item x="2"/>
        <item x="1"/>
        <item x="0"/>
        <item t="default"/>
      </items>
    </pivotField>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dataField="1"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pivotFields>
  <rowFields count="1">
    <field x="3"/>
  </rowFields>
  <rowItems count="4">
    <i>
      <x/>
    </i>
    <i>
      <x v="1"/>
    </i>
    <i>
      <x v="2"/>
    </i>
    <i t="grand">
      <x/>
    </i>
  </rowItems>
  <colItems count="1">
    <i/>
  </colItems>
  <dataFields count="1">
    <dataField name="Sum of Quantity"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A34EC-3F7F-473F-B4BD-0AEA6B942D9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67:K84" firstHeaderRow="1" firstDataRow="1" firstDataCol="0"/>
  <pivotFields count="10">
    <pivotField showAll="0"/>
    <pivotField numFmtId="14" showAll="0"/>
    <pivotField showAll="0">
      <items count="6">
        <item x="1"/>
        <item x="3"/>
        <item x="4"/>
        <item x="0"/>
        <item x="2"/>
        <item t="default"/>
      </items>
    </pivotField>
    <pivotField showAll="0">
      <items count="4">
        <item x="2"/>
        <item x="1"/>
        <item x="0"/>
        <item t="default"/>
      </items>
    </pivotField>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8E2092-6188-43A9-9CCC-F53A180D237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2:I13" firstHeaderRow="1" firstDataRow="1" firstDataCol="0"/>
  <pivotFields count="10">
    <pivotField showAll="0"/>
    <pivotField numFmtId="14" showAll="0"/>
    <pivotField showAll="0">
      <items count="6">
        <item x="1"/>
        <item x="3"/>
        <item x="4"/>
        <item x="0"/>
        <item x="2"/>
        <item t="default"/>
      </items>
    </pivotField>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Items count="1">
    <i/>
  </rowItems>
  <colItems count="1">
    <i/>
  </colItems>
  <dataFields count="1">
    <dataField name="Sum of Total revenue" fld="9"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5699F3-8BB2-4D5A-8E31-BE059A00C435}" name="PivotTable2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45:J51" firstHeaderRow="1" firstDataRow="1" firstDataCol="1"/>
  <pivotFields count="10">
    <pivotField showAll="0"/>
    <pivotField numFmtId="14" showAll="0"/>
    <pivotField showAll="0">
      <items count="6">
        <item x="1"/>
        <item x="3"/>
        <item x="4"/>
        <item x="0"/>
        <item x="2"/>
        <item t="default"/>
      </items>
    </pivotField>
    <pivotField showAll="0"/>
    <pivotField showAll="0">
      <items count="4">
        <item x="2"/>
        <item x="1"/>
        <item x="0"/>
        <item t="default"/>
      </items>
    </pivotField>
    <pivotField showAll="0">
      <items count="6">
        <item x="2"/>
        <item x="1"/>
        <item x="4"/>
        <item x="0"/>
        <item x="3"/>
        <item t="default"/>
      </items>
    </pivotField>
    <pivotField axis="axisRow" showAll="0">
      <items count="6">
        <item x="3"/>
        <item x="2"/>
        <item x="0"/>
        <item x="1"/>
        <item x="4"/>
        <item t="default"/>
      </items>
    </pivotField>
    <pivotField showAll="0"/>
    <pivotField dataField="1"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showAll="0"/>
  </pivotFields>
  <rowFields count="1">
    <field x="6"/>
  </rowFields>
  <rowItems count="6">
    <i>
      <x/>
    </i>
    <i>
      <x v="1"/>
    </i>
    <i>
      <x v="2"/>
    </i>
    <i>
      <x v="3"/>
    </i>
    <i>
      <x v="4"/>
    </i>
    <i t="grand">
      <x/>
    </i>
  </rowItems>
  <colItems count="1">
    <i/>
  </colItems>
  <dataFields count="1">
    <dataField name="Sum of Quantity"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A40C6-B4A1-41DC-9B11-EFC8AF069DB2}"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9:J35" firstHeaderRow="1" firstDataRow="1" firstDataCol="1"/>
  <pivotFields count="10">
    <pivotField showAll="0"/>
    <pivotField numFmtId="14" showAll="0"/>
    <pivotField showAll="0">
      <items count="6">
        <item x="1"/>
        <item x="3"/>
        <item x="4"/>
        <item x="0"/>
        <item x="2"/>
        <item t="default"/>
      </items>
    </pivotField>
    <pivotField showAll="0"/>
    <pivotField showAll="0">
      <items count="4">
        <item x="2"/>
        <item x="1"/>
        <item x="0"/>
        <item t="default"/>
      </items>
    </pivotField>
    <pivotField showAll="0">
      <items count="6">
        <item x="2"/>
        <item x="1"/>
        <item x="4"/>
        <item x="0"/>
        <item x="3"/>
        <item t="default"/>
      </items>
    </pivotField>
    <pivotField axis="axisRow"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Fields count="1">
    <field x="6"/>
  </rowFields>
  <rowItems count="6">
    <i>
      <x/>
    </i>
    <i>
      <x v="1"/>
    </i>
    <i>
      <x v="2"/>
    </i>
    <i>
      <x v="3"/>
    </i>
    <i>
      <x v="4"/>
    </i>
    <i t="grand">
      <x/>
    </i>
  </rowItems>
  <colItems count="1">
    <i/>
  </colItems>
  <dataFields count="1">
    <dataField name="Sum of Total revenue" fld="9"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E459AE-8B8B-406E-8E4F-A5F6F1F72F22}"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19" firstHeaderRow="1" firstDataRow="1" firstDataCol="1"/>
  <pivotFields count="10">
    <pivotField showAll="0"/>
    <pivotField numFmtId="14" showAll="0"/>
    <pivotField showAll="0">
      <items count="6">
        <item x="1"/>
        <item x="3"/>
        <item x="4"/>
        <item x="0"/>
        <item x="2"/>
        <item t="default"/>
      </items>
    </pivotField>
    <pivotField showAll="0"/>
    <pivotField axis="axisRow"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Fields count="1">
    <field x="4"/>
  </rowFields>
  <rowItems count="4">
    <i>
      <x/>
    </i>
    <i>
      <x v="1"/>
    </i>
    <i>
      <x v="2"/>
    </i>
    <i t="grand">
      <x/>
    </i>
  </rowItems>
  <colItems count="1">
    <i/>
  </colItems>
  <dataFields count="1">
    <dataField name="Sum of Total revenue" fld="9"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9B7234-C45C-41BC-9F50-DE7C52DDC934}"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1:J27" firstHeaderRow="1" firstDataRow="1" firstDataCol="1"/>
  <pivotFields count="10">
    <pivotField showAll="0"/>
    <pivotField numFmtId="14" showAll="0"/>
    <pivotField axis="axisRow" showAll="0">
      <items count="6">
        <item x="1"/>
        <item x="3"/>
        <item x="4"/>
        <item x="0"/>
        <item x="2"/>
        <item t="default"/>
      </items>
    </pivotField>
    <pivotField showAll="0"/>
    <pivotField showAll="0">
      <items count="4">
        <item x="2"/>
        <item x="1"/>
        <item x="0"/>
        <item t="default"/>
      </items>
    </pivotField>
    <pivotField showAll="0">
      <items count="6">
        <item x="2"/>
        <item x="1"/>
        <item x="4"/>
        <item x="0"/>
        <item x="3"/>
        <item t="default"/>
      </items>
    </pivotField>
    <pivotField showAll="0">
      <items count="6">
        <item x="3"/>
        <item x="2"/>
        <item x="0"/>
        <item x="1"/>
        <item x="4"/>
        <item t="default"/>
      </items>
    </pivotField>
    <pivotField showAll="0"/>
    <pivotField numFmtId="2" showAll="0">
      <items count="29">
        <item x="2"/>
        <item x="4"/>
        <item x="17"/>
        <item x="21"/>
        <item x="22"/>
        <item x="24"/>
        <item x="26"/>
        <item x="15"/>
        <item x="14"/>
        <item x="12"/>
        <item x="13"/>
        <item x="9"/>
        <item x="8"/>
        <item x="10"/>
        <item x="5"/>
        <item x="3"/>
        <item x="0"/>
        <item x="16"/>
        <item x="18"/>
        <item x="7"/>
        <item x="19"/>
        <item x="20"/>
        <item x="6"/>
        <item x="11"/>
        <item x="23"/>
        <item x="25"/>
        <item x="1"/>
        <item x="27"/>
        <item t="default"/>
      </items>
    </pivotField>
    <pivotField dataField="1" showAll="0"/>
  </pivotFields>
  <rowFields count="1">
    <field x="2"/>
  </rowFields>
  <rowItems count="6">
    <i>
      <x/>
    </i>
    <i>
      <x v="1"/>
    </i>
    <i>
      <x v="2"/>
    </i>
    <i>
      <x v="3"/>
    </i>
    <i>
      <x v="4"/>
    </i>
    <i t="grand">
      <x/>
    </i>
  </rowItems>
  <colItems count="1">
    <i/>
  </colItems>
  <dataFields count="1">
    <dataField name="Sum of Total revenue" fld="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8063DB57-0DF5-4B5B-99A4-D951B67BE818}" sourceName="Manager">
  <pivotTables>
    <pivotTable tabId="2" name="PivotTable3"/>
    <pivotTable tabId="2" name="PivotTable5"/>
    <pivotTable tabId="2" name="PivotTable7"/>
    <pivotTable tabId="2" name="PivotTable9"/>
    <pivotTable tabId="2" name="PivotTable11"/>
    <pivotTable tabId="2" name="PivotTable20"/>
    <pivotTable tabId="2" name="PivotTable21"/>
    <pivotTable tabId="2" name="PivotTable1"/>
    <pivotTable tabId="2" name="PivotTable2"/>
    <pivotTable tabId="2" name="PivotTable4"/>
  </pivotTables>
  <data>
    <tabular pivotCacheId="418249348">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B27FB27-A1B0-4804-851D-D8A284533390}" sourceName="City">
  <pivotTables>
    <pivotTable tabId="2" name="PivotTable3"/>
    <pivotTable tabId="2" name="PivotTable5"/>
    <pivotTable tabId="2" name="PivotTable7"/>
    <pivotTable tabId="2" name="PivotTable9"/>
    <pivotTable tabId="2" name="PivotTable11"/>
    <pivotTable tabId="2" name="PivotTable20"/>
    <pivotTable tabId="2" name="PivotTable21"/>
    <pivotTable tabId="2" name="PivotTable1"/>
    <pivotTable tabId="2" name="PivotTable2"/>
    <pivotTable tabId="2" name="PivotTable4"/>
  </pivotTables>
  <data>
    <tabular pivotCacheId="418249348">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32258E0-7123-46B9-AA52-FDA8F34FB37A}" sourceName="Payment Method">
  <pivotTables>
    <pivotTable tabId="2" name="PivotTable3"/>
    <pivotTable tabId="2" name="PivotTable5"/>
    <pivotTable tabId="2" name="PivotTable7"/>
    <pivotTable tabId="2" name="PivotTable9"/>
    <pivotTable tabId="2" name="PivotTable11"/>
    <pivotTable tabId="2" name="PivotTable20"/>
    <pivotTable tabId="2" name="PivotTable21"/>
    <pivotTable tabId="2" name="PivotTable1"/>
    <pivotTable tabId="2" name="PivotTable2"/>
    <pivotTable tabId="2" name="PivotTable4"/>
  </pivotTables>
  <data>
    <tabular pivotCacheId="41824934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D71B7B-A941-4773-99C7-29F1BBE30C08}" sourceName="Product">
  <pivotTables>
    <pivotTable tabId="2" name="PivotTable3"/>
    <pivotTable tabId="2" name="PivotTable7"/>
    <pivotTable tabId="2" name="PivotTable5"/>
    <pivotTable tabId="2" name="PivotTable9"/>
    <pivotTable tabId="2" name="PivotTable11"/>
    <pivotTable tabId="2" name="PivotTable20"/>
    <pivotTable tabId="2" name="PivotTable21"/>
    <pivotTable tabId="2" name="PivotTable1"/>
    <pivotTable tabId="2" name="PivotTable2"/>
    <pivotTable tabId="2" name="PivotTable4"/>
  </pivotTables>
  <data>
    <tabular pivotCacheId="418249348">
      <items count="5">
        <i x="1" s="1"/>
        <i x="3"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97FAE29B-4430-4765-AEDC-7166235DFFEF}" cache="Slicer_Manager" caption="Manag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4C44F4D-CBE6-4C55-BDE9-B339B19223DF}" cache="Slicer_City" caption="City" columnCount="5" style="SlicerStyleDark4" rowHeight="365760"/>
  <slicer name="Payment Method" xr10:uid="{C73E5C7B-FC2F-4FAF-888C-FD987540D1B0}" cache="Slicer_Payment_Method" caption="Payment Method" columnCount="3" style="SlicerStyleDark4" rowHeight="257175"/>
  <slicer name="Product" xr10:uid="{75491C6F-44C8-4B6B-A536-909B057D3F19}" cache="Slicer_Product" caption="Product" columnCount="5" style="SlicerStyleDark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7E48F-0F28-4CDC-BBE1-EFFF8E4E03E0}" name="Table1" displayName="Table1" ref="B2:H259" totalsRowShown="0" headerRowDxfId="22" headerRowBorderDxfId="21" tableBorderDxfId="20" totalsRowBorderDxfId="19">
  <autoFilter ref="B2:H259" xr:uid="{61B7E48F-0F28-4CDC-BBE1-EFFF8E4E03E0}"/>
  <tableColumns count="7">
    <tableColumn id="1" xr3:uid="{06977511-52A9-4667-A5DF-B6D58B498CA9}" name="Order ID" dataDxfId="18"/>
    <tableColumn id="2" xr3:uid="{E0934B24-C9FF-4E8F-A181-5D0ACA33FB3C}" name="Date" dataDxfId="17"/>
    <tableColumn id="3" xr3:uid="{78BF82C1-2599-42D7-832B-F9677E0FFE6D}" name="Product" dataDxfId="16"/>
    <tableColumn id="6" xr3:uid="{64866C32-81DB-46F7-A161-435B6DAC7B70}" name="Purchase Type" dataDxfId="15"/>
    <tableColumn id="7" xr3:uid="{D6CF3253-B87E-4A8A-9C17-79DFA2DB4275}" name="Payment Method" dataDxfId="14"/>
    <tableColumn id="8" xr3:uid="{491F0E62-512F-4012-9BB6-236EE21C44F0}" name="Manager" dataDxfId="13"/>
    <tableColumn id="9" xr3:uid="{31EB96DA-1CDF-4EAD-8C63-879E6B2C3FD1}" name="City" dataDxf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152EA2-53F4-4B0B-BF1D-6ABA71488A77}" name="Table2" displayName="Table2" ref="I2:K259" totalsRowShown="0" headerRowBorderDxfId="11" tableBorderDxfId="10" totalsRowBorderDxfId="9">
  <autoFilter ref="I2:K259" xr:uid="{34152EA2-53F4-4B0B-BF1D-6ABA71488A77}"/>
  <tableColumns count="3">
    <tableColumn id="1" xr3:uid="{3B7CA505-6196-40CD-8F74-4DC79A4199C3}" name="Price" dataDxfId="8"/>
    <tableColumn id="2" xr3:uid="{4B02BF2B-F5C6-450E-A855-D43BC3798AC9}" name="Quantity" dataDxfId="7"/>
    <tableColumn id="3" xr3:uid="{F4300D23-2776-4377-B9BA-407433B8E3F5}" name="Total revenue" dataDxfId="6">
      <calculatedColumnFormula>PRODUCT(I3:J3)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260"/>
  <sheetViews>
    <sheetView workbookViewId="0">
      <selection activeCell="F26" sqref="F26"/>
    </sheetView>
  </sheetViews>
  <sheetFormatPr defaultColWidth="10.625" defaultRowHeight="15.75"/>
  <cols>
    <col min="2" max="2" width="10" customWidth="1"/>
    <col min="3" max="3" width="10.375" bestFit="1" customWidth="1"/>
    <col min="4" max="4" width="17.5" bestFit="1" customWidth="1"/>
    <col min="5" max="5" width="17.375" bestFit="1" customWidth="1"/>
    <col min="6" max="6" width="20" bestFit="1" customWidth="1"/>
    <col min="7" max="7" width="12.5" bestFit="1" customWidth="1"/>
    <col min="8" max="8" width="8.125" bestFit="1" customWidth="1"/>
    <col min="9" max="9" width="9.125" bestFit="1" customWidth="1"/>
    <col min="10" max="10" width="12.5" bestFit="1" customWidth="1"/>
    <col min="11" max="11" width="14.625" customWidth="1"/>
    <col min="15" max="15" width="16.375" bestFit="1" customWidth="1"/>
    <col min="16" max="16" width="11.875" bestFit="1" customWidth="1"/>
    <col min="18" max="18" width="16.375" bestFit="1" customWidth="1"/>
    <col min="19" max="19" width="12.5" bestFit="1" customWidth="1"/>
  </cols>
  <sheetData>
    <row r="2" spans="2:11">
      <c r="B2" s="6" t="s">
        <v>0</v>
      </c>
      <c r="C2" s="6" t="s">
        <v>1</v>
      </c>
      <c r="D2" s="6" t="s">
        <v>2</v>
      </c>
      <c r="E2" s="6" t="s">
        <v>5</v>
      </c>
      <c r="F2" s="6" t="s">
        <v>6</v>
      </c>
      <c r="G2" s="6" t="s">
        <v>7</v>
      </c>
      <c r="H2" s="6" t="s">
        <v>8</v>
      </c>
      <c r="I2" s="15" t="s">
        <v>3</v>
      </c>
      <c r="J2" s="11" t="s">
        <v>4</v>
      </c>
      <c r="K2" s="13" t="s">
        <v>35</v>
      </c>
    </row>
    <row r="3" spans="2:11">
      <c r="B3" s="7">
        <v>10452</v>
      </c>
      <c r="C3" s="8">
        <v>44872</v>
      </c>
      <c r="D3" s="9" t="s">
        <v>9</v>
      </c>
      <c r="E3" s="7" t="s">
        <v>10</v>
      </c>
      <c r="F3" s="7" t="s">
        <v>11</v>
      </c>
      <c r="G3" s="9" t="s">
        <v>29</v>
      </c>
      <c r="H3" s="9" t="s">
        <v>12</v>
      </c>
      <c r="I3" s="24">
        <v>3.49</v>
      </c>
      <c r="J3" s="10">
        <v>574</v>
      </c>
      <c r="K3" s="22">
        <f>PRODUCT(I3:J3)</f>
        <v>2003.2600000000002</v>
      </c>
    </row>
    <row r="4" spans="2:11">
      <c r="B4" s="7">
        <v>10453</v>
      </c>
      <c r="C4" s="8">
        <v>44872</v>
      </c>
      <c r="D4" s="9" t="s">
        <v>13</v>
      </c>
      <c r="E4" s="7" t="s">
        <v>10</v>
      </c>
      <c r="F4" s="7" t="s">
        <v>11</v>
      </c>
      <c r="G4" s="9" t="s">
        <v>25</v>
      </c>
      <c r="H4" s="9" t="s">
        <v>14</v>
      </c>
      <c r="I4" s="24">
        <v>2.95</v>
      </c>
      <c r="J4" s="10">
        <v>746</v>
      </c>
      <c r="K4" s="22">
        <f t="shared" ref="K4:K67" si="0">PRODUCT(I4:J4)</f>
        <v>2200.7000000000003</v>
      </c>
    </row>
    <row r="5" spans="2:11">
      <c r="B5" s="7">
        <v>10454</v>
      </c>
      <c r="C5" s="8">
        <v>44872</v>
      </c>
      <c r="D5" s="9" t="s">
        <v>15</v>
      </c>
      <c r="E5" s="7" t="s">
        <v>16</v>
      </c>
      <c r="F5" s="7" t="s">
        <v>11</v>
      </c>
      <c r="G5" s="9" t="s">
        <v>26</v>
      </c>
      <c r="H5" s="9" t="s">
        <v>17</v>
      </c>
      <c r="I5" s="24">
        <v>4.99</v>
      </c>
      <c r="J5" s="10">
        <v>201</v>
      </c>
      <c r="K5" s="22">
        <f t="shared" si="0"/>
        <v>1002.99</v>
      </c>
    </row>
    <row r="6" spans="2:11">
      <c r="B6" s="7">
        <v>10455</v>
      </c>
      <c r="C6" s="8">
        <v>44873</v>
      </c>
      <c r="D6" s="9" t="s">
        <v>18</v>
      </c>
      <c r="E6" s="7" t="s">
        <v>16</v>
      </c>
      <c r="F6" s="7" t="s">
        <v>19</v>
      </c>
      <c r="G6" s="9" t="s">
        <v>20</v>
      </c>
      <c r="H6" s="9" t="s">
        <v>21</v>
      </c>
      <c r="I6" s="24">
        <v>12.99</v>
      </c>
      <c r="J6" s="10">
        <v>570</v>
      </c>
      <c r="K6" s="22">
        <f t="shared" si="0"/>
        <v>7404.3</v>
      </c>
    </row>
    <row r="7" spans="2:11">
      <c r="B7" s="7">
        <v>10456</v>
      </c>
      <c r="C7" s="8">
        <v>44873</v>
      </c>
      <c r="D7" s="9" t="s">
        <v>22</v>
      </c>
      <c r="E7" s="7" t="s">
        <v>16</v>
      </c>
      <c r="F7" s="7" t="s">
        <v>19</v>
      </c>
      <c r="G7" s="9" t="s">
        <v>20</v>
      </c>
      <c r="H7" s="9" t="s">
        <v>21</v>
      </c>
      <c r="I7" s="24">
        <v>9.9499999999999993</v>
      </c>
      <c r="J7" s="10">
        <v>202</v>
      </c>
      <c r="K7" s="22">
        <f t="shared" si="0"/>
        <v>2009.8999999999999</v>
      </c>
    </row>
    <row r="8" spans="2:11">
      <c r="B8" s="7">
        <v>10457</v>
      </c>
      <c r="C8" s="8">
        <v>44873</v>
      </c>
      <c r="D8" s="9" t="s">
        <v>9</v>
      </c>
      <c r="E8" s="7" t="s">
        <v>16</v>
      </c>
      <c r="F8" s="7" t="s">
        <v>19</v>
      </c>
      <c r="G8" s="9" t="s">
        <v>24</v>
      </c>
      <c r="H8" s="9" t="s">
        <v>23</v>
      </c>
      <c r="I8" s="24">
        <v>3.49</v>
      </c>
      <c r="J8" s="10">
        <v>574</v>
      </c>
      <c r="K8" s="22">
        <f t="shared" si="0"/>
        <v>2003.2600000000002</v>
      </c>
    </row>
    <row r="9" spans="2:11">
      <c r="B9" s="7">
        <v>10459</v>
      </c>
      <c r="C9" s="8">
        <v>44873</v>
      </c>
      <c r="D9" s="9" t="s">
        <v>15</v>
      </c>
      <c r="E9" s="7" t="s">
        <v>16</v>
      </c>
      <c r="F9" s="7" t="s">
        <v>19</v>
      </c>
      <c r="G9" s="9" t="s">
        <v>20</v>
      </c>
      <c r="H9" s="9" t="s">
        <v>21</v>
      </c>
      <c r="I9" s="24">
        <v>4.99</v>
      </c>
      <c r="J9" s="10">
        <v>201</v>
      </c>
      <c r="K9" s="22">
        <f t="shared" si="0"/>
        <v>1002.99</v>
      </c>
    </row>
    <row r="10" spans="2:11">
      <c r="B10" s="7">
        <v>10460</v>
      </c>
      <c r="C10" s="8">
        <v>44874</v>
      </c>
      <c r="D10" s="9" t="s">
        <v>18</v>
      </c>
      <c r="E10" s="7" t="s">
        <v>16</v>
      </c>
      <c r="F10" s="7" t="s">
        <v>19</v>
      </c>
      <c r="G10" s="9" t="s">
        <v>24</v>
      </c>
      <c r="H10" s="9" t="s">
        <v>23</v>
      </c>
      <c r="I10" s="24">
        <v>12.99</v>
      </c>
      <c r="J10" s="10">
        <v>555</v>
      </c>
      <c r="K10" s="22">
        <f t="shared" si="0"/>
        <v>7209.45</v>
      </c>
    </row>
    <row r="11" spans="2:11">
      <c r="B11" s="7">
        <v>10461</v>
      </c>
      <c r="C11" s="8">
        <v>44874</v>
      </c>
      <c r="D11" s="9" t="s">
        <v>22</v>
      </c>
      <c r="E11" s="7" t="s">
        <v>16</v>
      </c>
      <c r="F11" s="7" t="s">
        <v>19</v>
      </c>
      <c r="G11" s="9" t="s">
        <v>24</v>
      </c>
      <c r="H11" s="9" t="s">
        <v>23</v>
      </c>
      <c r="I11" s="24">
        <v>9.9499999999999993</v>
      </c>
      <c r="J11" s="10">
        <v>202</v>
      </c>
      <c r="K11" s="22">
        <f t="shared" si="0"/>
        <v>2009.8999999999999</v>
      </c>
    </row>
    <row r="12" spans="2:11">
      <c r="B12" s="7">
        <v>10462</v>
      </c>
      <c r="C12" s="8">
        <v>44874</v>
      </c>
      <c r="D12" s="9" t="s">
        <v>9</v>
      </c>
      <c r="E12" s="7" t="s">
        <v>16</v>
      </c>
      <c r="F12" s="7" t="s">
        <v>19</v>
      </c>
      <c r="G12" s="9" t="s">
        <v>24</v>
      </c>
      <c r="H12" s="9" t="s">
        <v>23</v>
      </c>
      <c r="I12" s="24">
        <v>3.49</v>
      </c>
      <c r="J12" s="10">
        <v>574</v>
      </c>
      <c r="K12" s="22">
        <f t="shared" si="0"/>
        <v>2003.2600000000002</v>
      </c>
    </row>
    <row r="13" spans="2:11">
      <c r="B13" s="7">
        <v>10463</v>
      </c>
      <c r="C13" s="8">
        <v>44874</v>
      </c>
      <c r="D13" s="9" t="s">
        <v>13</v>
      </c>
      <c r="E13" s="7" t="s">
        <v>16</v>
      </c>
      <c r="F13" s="7" t="s">
        <v>19</v>
      </c>
      <c r="G13" s="9" t="s">
        <v>24</v>
      </c>
      <c r="H13" s="9" t="s">
        <v>23</v>
      </c>
      <c r="I13" s="24">
        <v>2.95</v>
      </c>
      <c r="J13" s="10">
        <v>678</v>
      </c>
      <c r="K13" s="22">
        <f t="shared" si="0"/>
        <v>2000.1000000000001</v>
      </c>
    </row>
    <row r="14" spans="2:11">
      <c r="B14" s="7">
        <v>10464</v>
      </c>
      <c r="C14" s="8">
        <v>44874</v>
      </c>
      <c r="D14" s="9" t="s">
        <v>15</v>
      </c>
      <c r="E14" s="7" t="s">
        <v>16</v>
      </c>
      <c r="F14" s="7" t="s">
        <v>19</v>
      </c>
      <c r="G14" s="9" t="s">
        <v>24</v>
      </c>
      <c r="H14" s="9" t="s">
        <v>23</v>
      </c>
      <c r="I14" s="24">
        <v>4.99</v>
      </c>
      <c r="J14" s="10">
        <v>201</v>
      </c>
      <c r="K14" s="22">
        <f t="shared" si="0"/>
        <v>1002.99</v>
      </c>
    </row>
    <row r="15" spans="2:11">
      <c r="B15" s="7">
        <v>10465</v>
      </c>
      <c r="C15" s="8">
        <v>44875</v>
      </c>
      <c r="D15" s="9" t="s">
        <v>18</v>
      </c>
      <c r="E15" s="7" t="s">
        <v>16</v>
      </c>
      <c r="F15" s="7" t="s">
        <v>19</v>
      </c>
      <c r="G15" s="9" t="s">
        <v>25</v>
      </c>
      <c r="H15" s="9" t="s">
        <v>14</v>
      </c>
      <c r="I15" s="24">
        <v>12.99</v>
      </c>
      <c r="J15" s="10">
        <v>555</v>
      </c>
      <c r="K15" s="22">
        <f t="shared" si="0"/>
        <v>7209.45</v>
      </c>
    </row>
    <row r="16" spans="2:11">
      <c r="B16" s="7">
        <v>10466</v>
      </c>
      <c r="C16" s="8">
        <v>44875</v>
      </c>
      <c r="D16" s="9" t="s">
        <v>22</v>
      </c>
      <c r="E16" s="7" t="s">
        <v>16</v>
      </c>
      <c r="F16" s="7" t="s">
        <v>19</v>
      </c>
      <c r="G16" s="9" t="s">
        <v>25</v>
      </c>
      <c r="H16" s="9" t="s">
        <v>14</v>
      </c>
      <c r="I16" s="24">
        <v>9.9499999999999993</v>
      </c>
      <c r="J16" s="10">
        <v>202</v>
      </c>
      <c r="K16" s="22">
        <f t="shared" si="0"/>
        <v>2009.8999999999999</v>
      </c>
    </row>
    <row r="17" spans="2:11">
      <c r="B17" s="7">
        <v>10467</v>
      </c>
      <c r="C17" s="8">
        <v>44875</v>
      </c>
      <c r="D17" s="9" t="s">
        <v>9</v>
      </c>
      <c r="E17" s="7" t="s">
        <v>16</v>
      </c>
      <c r="F17" s="7" t="s">
        <v>19</v>
      </c>
      <c r="G17" s="9" t="s">
        <v>25</v>
      </c>
      <c r="H17" s="9" t="s">
        <v>14</v>
      </c>
      <c r="I17" s="24">
        <v>3.49</v>
      </c>
      <c r="J17" s="10">
        <v>574</v>
      </c>
      <c r="K17" s="22">
        <f t="shared" si="0"/>
        <v>2003.2600000000002</v>
      </c>
    </row>
    <row r="18" spans="2:11">
      <c r="B18" s="7">
        <v>10468</v>
      </c>
      <c r="C18" s="8">
        <v>44875</v>
      </c>
      <c r="D18" s="9" t="s">
        <v>13</v>
      </c>
      <c r="E18" s="7" t="s">
        <v>16</v>
      </c>
      <c r="F18" s="7" t="s">
        <v>19</v>
      </c>
      <c r="G18" s="9" t="s">
        <v>25</v>
      </c>
      <c r="H18" s="9" t="s">
        <v>14</v>
      </c>
      <c r="I18" s="24">
        <v>2.95</v>
      </c>
      <c r="J18" s="10">
        <v>678</v>
      </c>
      <c r="K18" s="22">
        <f t="shared" si="0"/>
        <v>2000.1000000000001</v>
      </c>
    </row>
    <row r="19" spans="2:11">
      <c r="B19" s="7">
        <v>10470</v>
      </c>
      <c r="C19" s="8">
        <v>44876</v>
      </c>
      <c r="D19" s="9" t="s">
        <v>18</v>
      </c>
      <c r="E19" s="7" t="s">
        <v>16</v>
      </c>
      <c r="F19" s="7" t="s">
        <v>19</v>
      </c>
      <c r="G19" s="9" t="s">
        <v>25</v>
      </c>
      <c r="H19" s="9" t="s">
        <v>14</v>
      </c>
      <c r="I19" s="24">
        <v>12.99</v>
      </c>
      <c r="J19" s="10">
        <v>555</v>
      </c>
      <c r="K19" s="22">
        <f t="shared" si="0"/>
        <v>7209.45</v>
      </c>
    </row>
    <row r="20" spans="2:11">
      <c r="B20" s="7">
        <v>10471</v>
      </c>
      <c r="C20" s="8">
        <v>44876</v>
      </c>
      <c r="D20" s="9" t="s">
        <v>22</v>
      </c>
      <c r="E20" s="7" t="s">
        <v>16</v>
      </c>
      <c r="F20" s="7" t="s">
        <v>19</v>
      </c>
      <c r="G20" s="9" t="s">
        <v>25</v>
      </c>
      <c r="H20" s="9" t="s">
        <v>14</v>
      </c>
      <c r="I20" s="24">
        <v>9.9499999999999993</v>
      </c>
      <c r="J20" s="10">
        <v>202</v>
      </c>
      <c r="K20" s="22">
        <f t="shared" si="0"/>
        <v>2009.8999999999999</v>
      </c>
    </row>
    <row r="21" spans="2:11">
      <c r="B21" s="7">
        <v>10472</v>
      </c>
      <c r="C21" s="8">
        <v>44876</v>
      </c>
      <c r="D21" s="9" t="s">
        <v>9</v>
      </c>
      <c r="E21" s="7" t="s">
        <v>16</v>
      </c>
      <c r="F21" s="7" t="s">
        <v>19</v>
      </c>
      <c r="G21" s="9" t="s">
        <v>25</v>
      </c>
      <c r="H21" s="9" t="s">
        <v>14</v>
      </c>
      <c r="I21" s="24">
        <v>3.49</v>
      </c>
      <c r="J21" s="10">
        <v>631</v>
      </c>
      <c r="K21" s="22">
        <f t="shared" si="0"/>
        <v>2202.19</v>
      </c>
    </row>
    <row r="22" spans="2:11">
      <c r="B22" s="7">
        <v>10473</v>
      </c>
      <c r="C22" s="8">
        <v>44876</v>
      </c>
      <c r="D22" s="9" t="s">
        <v>13</v>
      </c>
      <c r="E22" s="7" t="s">
        <v>16</v>
      </c>
      <c r="F22" s="7" t="s">
        <v>19</v>
      </c>
      <c r="G22" s="9" t="s">
        <v>25</v>
      </c>
      <c r="H22" s="9" t="s">
        <v>14</v>
      </c>
      <c r="I22" s="24">
        <v>2.95</v>
      </c>
      <c r="J22" s="10">
        <v>678</v>
      </c>
      <c r="K22" s="22">
        <f t="shared" si="0"/>
        <v>2000.1000000000001</v>
      </c>
    </row>
    <row r="23" spans="2:11">
      <c r="B23" s="7">
        <v>10474</v>
      </c>
      <c r="C23" s="8">
        <v>44876</v>
      </c>
      <c r="D23" s="9" t="s">
        <v>15</v>
      </c>
      <c r="E23" s="7" t="s">
        <v>16</v>
      </c>
      <c r="F23" s="7" t="s">
        <v>19</v>
      </c>
      <c r="G23" s="9" t="s">
        <v>25</v>
      </c>
      <c r="H23" s="9" t="s">
        <v>14</v>
      </c>
      <c r="I23" s="24">
        <v>4.99</v>
      </c>
      <c r="J23" s="10">
        <v>201</v>
      </c>
      <c r="K23" s="22">
        <f t="shared" si="0"/>
        <v>1002.99</v>
      </c>
    </row>
    <row r="24" spans="2:11">
      <c r="B24" s="7">
        <v>10475</v>
      </c>
      <c r="C24" s="8">
        <v>44877</v>
      </c>
      <c r="D24" s="9" t="s">
        <v>18</v>
      </c>
      <c r="E24" s="7" t="s">
        <v>16</v>
      </c>
      <c r="F24" s="7" t="s">
        <v>19</v>
      </c>
      <c r="G24" s="9" t="s">
        <v>25</v>
      </c>
      <c r="H24" s="9" t="s">
        <v>14</v>
      </c>
      <c r="I24" s="24">
        <v>12.99</v>
      </c>
      <c r="J24" s="10">
        <v>524</v>
      </c>
      <c r="K24" s="22">
        <f t="shared" si="0"/>
        <v>6806.76</v>
      </c>
    </row>
    <row r="25" spans="2:11">
      <c r="B25" s="7">
        <v>10476</v>
      </c>
      <c r="C25" s="8">
        <v>44877</v>
      </c>
      <c r="D25" s="9" t="s">
        <v>22</v>
      </c>
      <c r="E25" s="7" t="s">
        <v>16</v>
      </c>
      <c r="F25" s="7" t="s">
        <v>19</v>
      </c>
      <c r="G25" s="9" t="s">
        <v>25</v>
      </c>
      <c r="H25" s="9" t="s">
        <v>14</v>
      </c>
      <c r="I25" s="24">
        <v>9.9499999999999993</v>
      </c>
      <c r="J25" s="10">
        <v>202</v>
      </c>
      <c r="K25" s="22">
        <f t="shared" si="0"/>
        <v>2009.8999999999999</v>
      </c>
    </row>
    <row r="26" spans="2:11">
      <c r="B26" s="7">
        <v>10477</v>
      </c>
      <c r="C26" s="8">
        <v>44877</v>
      </c>
      <c r="D26" s="9" t="s">
        <v>9</v>
      </c>
      <c r="E26" s="7" t="s">
        <v>16</v>
      </c>
      <c r="F26" s="7" t="s">
        <v>19</v>
      </c>
      <c r="G26" s="9" t="s">
        <v>25</v>
      </c>
      <c r="H26" s="9" t="s">
        <v>14</v>
      </c>
      <c r="I26" s="24">
        <v>3.49</v>
      </c>
      <c r="J26" s="10">
        <v>631</v>
      </c>
      <c r="K26" s="22">
        <f t="shared" si="0"/>
        <v>2202.19</v>
      </c>
    </row>
    <row r="27" spans="2:11">
      <c r="B27" s="7">
        <v>10478</v>
      </c>
      <c r="C27" s="8">
        <v>44877</v>
      </c>
      <c r="D27" s="9" t="s">
        <v>13</v>
      </c>
      <c r="E27" s="7" t="s">
        <v>16</v>
      </c>
      <c r="F27" s="7" t="s">
        <v>19</v>
      </c>
      <c r="G27" s="9" t="s">
        <v>25</v>
      </c>
      <c r="H27" s="9" t="s">
        <v>14</v>
      </c>
      <c r="I27" s="24">
        <v>2.95</v>
      </c>
      <c r="J27" s="10">
        <v>678</v>
      </c>
      <c r="K27" s="22">
        <f t="shared" si="0"/>
        <v>2000.1000000000001</v>
      </c>
    </row>
    <row r="28" spans="2:11">
      <c r="B28" s="7">
        <v>10479</v>
      </c>
      <c r="C28" s="8">
        <v>44877</v>
      </c>
      <c r="D28" s="9" t="s">
        <v>15</v>
      </c>
      <c r="E28" s="7" t="s">
        <v>16</v>
      </c>
      <c r="F28" s="7" t="s">
        <v>19</v>
      </c>
      <c r="G28" s="9" t="s">
        <v>25</v>
      </c>
      <c r="H28" s="9" t="s">
        <v>14</v>
      </c>
      <c r="I28" s="24">
        <v>4.99</v>
      </c>
      <c r="J28" s="10">
        <v>201</v>
      </c>
      <c r="K28" s="22">
        <f t="shared" si="0"/>
        <v>1002.99</v>
      </c>
    </row>
    <row r="29" spans="2:11">
      <c r="B29" s="7">
        <v>10480</v>
      </c>
      <c r="C29" s="8">
        <v>44878</v>
      </c>
      <c r="D29" s="9" t="s">
        <v>18</v>
      </c>
      <c r="E29" s="7" t="s">
        <v>16</v>
      </c>
      <c r="F29" s="7" t="s">
        <v>19</v>
      </c>
      <c r="G29" s="9" t="s">
        <v>25</v>
      </c>
      <c r="H29" s="9" t="s">
        <v>14</v>
      </c>
      <c r="I29" s="24">
        <v>12.99</v>
      </c>
      <c r="J29" s="10">
        <v>509</v>
      </c>
      <c r="K29" s="22">
        <f t="shared" si="0"/>
        <v>6611.91</v>
      </c>
    </row>
    <row r="30" spans="2:11">
      <c r="B30" s="7">
        <v>10481</v>
      </c>
      <c r="C30" s="8">
        <v>44878</v>
      </c>
      <c r="D30" s="9" t="s">
        <v>22</v>
      </c>
      <c r="E30" s="7" t="s">
        <v>16</v>
      </c>
      <c r="F30" s="7" t="s">
        <v>19</v>
      </c>
      <c r="G30" s="9" t="s">
        <v>25</v>
      </c>
      <c r="H30" s="9" t="s">
        <v>14</v>
      </c>
      <c r="I30" s="24">
        <v>9.9499999999999993</v>
      </c>
      <c r="J30" s="10">
        <v>202</v>
      </c>
      <c r="K30" s="22">
        <f t="shared" si="0"/>
        <v>2009.8999999999999</v>
      </c>
    </row>
    <row r="31" spans="2:11">
      <c r="B31" s="7">
        <v>10482</v>
      </c>
      <c r="C31" s="8">
        <v>44878</v>
      </c>
      <c r="D31" s="9" t="s">
        <v>9</v>
      </c>
      <c r="E31" s="7" t="s">
        <v>16</v>
      </c>
      <c r="F31" s="7" t="s">
        <v>19</v>
      </c>
      <c r="G31" s="9" t="s">
        <v>26</v>
      </c>
      <c r="H31" s="9" t="s">
        <v>17</v>
      </c>
      <c r="I31" s="24">
        <v>25.5</v>
      </c>
      <c r="J31" s="10">
        <v>631</v>
      </c>
      <c r="K31" s="22">
        <f t="shared" si="0"/>
        <v>16090.5</v>
      </c>
    </row>
    <row r="32" spans="2:11">
      <c r="B32" s="7">
        <v>10483</v>
      </c>
      <c r="C32" s="8">
        <v>44878</v>
      </c>
      <c r="D32" s="9" t="s">
        <v>13</v>
      </c>
      <c r="E32" s="7" t="s">
        <v>16</v>
      </c>
      <c r="F32" s="7" t="s">
        <v>19</v>
      </c>
      <c r="G32" s="9" t="s">
        <v>26</v>
      </c>
      <c r="H32" s="9" t="s">
        <v>17</v>
      </c>
      <c r="I32" s="24">
        <v>33.22</v>
      </c>
      <c r="J32" s="10">
        <v>678</v>
      </c>
      <c r="K32" s="22">
        <f t="shared" si="0"/>
        <v>22523.16</v>
      </c>
    </row>
    <row r="33" spans="2:11">
      <c r="B33" s="7">
        <v>10484</v>
      </c>
      <c r="C33" s="8">
        <v>44878</v>
      </c>
      <c r="D33" s="9" t="s">
        <v>15</v>
      </c>
      <c r="E33" s="7" t="s">
        <v>16</v>
      </c>
      <c r="F33" s="7" t="s">
        <v>19</v>
      </c>
      <c r="G33" s="9" t="s">
        <v>26</v>
      </c>
      <c r="H33" s="9" t="s">
        <v>17</v>
      </c>
      <c r="I33" s="24">
        <v>21.44</v>
      </c>
      <c r="J33" s="10">
        <v>201</v>
      </c>
      <c r="K33" s="22">
        <f t="shared" si="0"/>
        <v>4309.4400000000005</v>
      </c>
    </row>
    <row r="34" spans="2:11">
      <c r="B34" s="7">
        <v>10485</v>
      </c>
      <c r="C34" s="8">
        <v>44879</v>
      </c>
      <c r="D34" s="9" t="s">
        <v>18</v>
      </c>
      <c r="E34" s="7" t="s">
        <v>16</v>
      </c>
      <c r="F34" s="7" t="s">
        <v>19</v>
      </c>
      <c r="G34" s="9" t="s">
        <v>26</v>
      </c>
      <c r="H34" s="9" t="s">
        <v>17</v>
      </c>
      <c r="I34" s="24">
        <v>27.99</v>
      </c>
      <c r="J34" s="10">
        <v>524</v>
      </c>
      <c r="K34" s="22">
        <f t="shared" si="0"/>
        <v>14666.759999999998</v>
      </c>
    </row>
    <row r="35" spans="2:11">
      <c r="B35" s="7">
        <v>10486</v>
      </c>
      <c r="C35" s="8">
        <v>44879</v>
      </c>
      <c r="D35" s="9" t="s">
        <v>22</v>
      </c>
      <c r="E35" s="7" t="s">
        <v>16</v>
      </c>
      <c r="F35" s="7" t="s">
        <v>19</v>
      </c>
      <c r="G35" s="9" t="s">
        <v>26</v>
      </c>
      <c r="H35" s="9" t="s">
        <v>17</v>
      </c>
      <c r="I35" s="24">
        <v>29.05</v>
      </c>
      <c r="J35" s="10">
        <v>202</v>
      </c>
      <c r="K35" s="22">
        <f t="shared" si="0"/>
        <v>5868.1</v>
      </c>
    </row>
    <row r="36" spans="2:11">
      <c r="B36" s="7">
        <v>10487</v>
      </c>
      <c r="C36" s="8">
        <v>44879</v>
      </c>
      <c r="D36" s="9" t="s">
        <v>9</v>
      </c>
      <c r="E36" s="7" t="s">
        <v>16</v>
      </c>
      <c r="F36" s="7" t="s">
        <v>19</v>
      </c>
      <c r="G36" s="9" t="s">
        <v>26</v>
      </c>
      <c r="H36" s="9" t="s">
        <v>17</v>
      </c>
      <c r="I36" s="24">
        <v>3.49</v>
      </c>
      <c r="J36" s="10">
        <v>631</v>
      </c>
      <c r="K36" s="22">
        <f t="shared" si="0"/>
        <v>2202.19</v>
      </c>
    </row>
    <row r="37" spans="2:11">
      <c r="B37" s="7">
        <v>10488</v>
      </c>
      <c r="C37" s="8">
        <v>44879</v>
      </c>
      <c r="D37" s="9" t="s">
        <v>13</v>
      </c>
      <c r="E37" s="7" t="s">
        <v>16</v>
      </c>
      <c r="F37" s="7" t="s">
        <v>19</v>
      </c>
      <c r="G37" s="9" t="s">
        <v>26</v>
      </c>
      <c r="H37" s="9" t="s">
        <v>17</v>
      </c>
      <c r="I37" s="24">
        <v>2.95</v>
      </c>
      <c r="J37" s="10">
        <v>678</v>
      </c>
      <c r="K37" s="22">
        <f t="shared" si="0"/>
        <v>2000.1000000000001</v>
      </c>
    </row>
    <row r="38" spans="2:11">
      <c r="B38" s="7">
        <v>10489</v>
      </c>
      <c r="C38" s="8">
        <v>44879</v>
      </c>
      <c r="D38" s="9" t="s">
        <v>15</v>
      </c>
      <c r="E38" s="7" t="s">
        <v>16</v>
      </c>
      <c r="F38" s="7" t="s">
        <v>19</v>
      </c>
      <c r="G38" s="9" t="s">
        <v>25</v>
      </c>
      <c r="H38" s="9" t="s">
        <v>14</v>
      </c>
      <c r="I38" s="24">
        <v>4.99</v>
      </c>
      <c r="J38" s="10">
        <v>201</v>
      </c>
      <c r="K38" s="22">
        <f t="shared" si="0"/>
        <v>1002.99</v>
      </c>
    </row>
    <row r="39" spans="2:11">
      <c r="B39" s="7">
        <v>10490</v>
      </c>
      <c r="C39" s="8">
        <v>44880</v>
      </c>
      <c r="D39" s="9" t="s">
        <v>18</v>
      </c>
      <c r="E39" s="7" t="s">
        <v>16</v>
      </c>
      <c r="F39" s="7" t="s">
        <v>19</v>
      </c>
      <c r="G39" s="9" t="s">
        <v>25</v>
      </c>
      <c r="H39" s="9" t="s">
        <v>14</v>
      </c>
      <c r="I39" s="24">
        <v>12.99</v>
      </c>
      <c r="J39" s="10">
        <v>509</v>
      </c>
      <c r="K39" s="22">
        <f t="shared" si="0"/>
        <v>6611.91</v>
      </c>
    </row>
    <row r="40" spans="2:11">
      <c r="B40" s="7">
        <v>10491</v>
      </c>
      <c r="C40" s="8">
        <v>44880</v>
      </c>
      <c r="D40" s="9" t="s">
        <v>22</v>
      </c>
      <c r="E40" s="7" t="s">
        <v>16</v>
      </c>
      <c r="F40" s="7" t="s">
        <v>19</v>
      </c>
      <c r="G40" s="9" t="s">
        <v>25</v>
      </c>
      <c r="H40" s="9" t="s">
        <v>14</v>
      </c>
      <c r="I40" s="24">
        <v>9.9499999999999993</v>
      </c>
      <c r="J40" s="10">
        <v>202</v>
      </c>
      <c r="K40" s="22">
        <f t="shared" si="0"/>
        <v>2009.8999999999999</v>
      </c>
    </row>
    <row r="41" spans="2:11">
      <c r="B41" s="7">
        <v>10492</v>
      </c>
      <c r="C41" s="8">
        <v>44880</v>
      </c>
      <c r="D41" s="9" t="s">
        <v>9</v>
      </c>
      <c r="E41" s="7" t="s">
        <v>16</v>
      </c>
      <c r="F41" s="7" t="s">
        <v>19</v>
      </c>
      <c r="G41" s="9" t="s">
        <v>25</v>
      </c>
      <c r="H41" s="9" t="s">
        <v>14</v>
      </c>
      <c r="I41" s="24">
        <v>3.49</v>
      </c>
      <c r="J41" s="10">
        <v>574</v>
      </c>
      <c r="K41" s="22">
        <f t="shared" si="0"/>
        <v>2003.2600000000002</v>
      </c>
    </row>
    <row r="42" spans="2:11">
      <c r="B42" s="7">
        <v>10493</v>
      </c>
      <c r="C42" s="8">
        <v>44880</v>
      </c>
      <c r="D42" s="9" t="s">
        <v>13</v>
      </c>
      <c r="E42" s="7" t="s">
        <v>16</v>
      </c>
      <c r="F42" s="7" t="s">
        <v>19</v>
      </c>
      <c r="G42" s="9" t="s">
        <v>25</v>
      </c>
      <c r="H42" s="9" t="s">
        <v>14</v>
      </c>
      <c r="I42" s="24">
        <v>2.95</v>
      </c>
      <c r="J42" s="10">
        <v>678</v>
      </c>
      <c r="K42" s="22">
        <f t="shared" si="0"/>
        <v>2000.1000000000001</v>
      </c>
    </row>
    <row r="43" spans="2:11">
      <c r="B43" s="7">
        <v>10494</v>
      </c>
      <c r="C43" s="8">
        <v>44880</v>
      </c>
      <c r="D43" s="9" t="s">
        <v>15</v>
      </c>
      <c r="E43" s="7" t="s">
        <v>16</v>
      </c>
      <c r="F43" s="7" t="s">
        <v>19</v>
      </c>
      <c r="G43" s="9" t="s">
        <v>25</v>
      </c>
      <c r="H43" s="9" t="s">
        <v>14</v>
      </c>
      <c r="I43" s="24">
        <v>4.99</v>
      </c>
      <c r="J43" s="10">
        <v>201</v>
      </c>
      <c r="K43" s="22">
        <f t="shared" si="0"/>
        <v>1002.99</v>
      </c>
    </row>
    <row r="44" spans="2:11">
      <c r="B44" s="7">
        <v>10495</v>
      </c>
      <c r="C44" s="8">
        <v>44881</v>
      </c>
      <c r="D44" s="9" t="s">
        <v>18</v>
      </c>
      <c r="E44" s="7" t="s">
        <v>16</v>
      </c>
      <c r="F44" s="7" t="s">
        <v>19</v>
      </c>
      <c r="G44" s="9" t="s">
        <v>25</v>
      </c>
      <c r="H44" s="9" t="s">
        <v>14</v>
      </c>
      <c r="I44" s="24">
        <v>12.99</v>
      </c>
      <c r="J44" s="10">
        <v>509</v>
      </c>
      <c r="K44" s="22">
        <f t="shared" si="0"/>
        <v>6611.91</v>
      </c>
    </row>
    <row r="45" spans="2:11">
      <c r="B45" s="7">
        <v>10496</v>
      </c>
      <c r="C45" s="8">
        <v>44881</v>
      </c>
      <c r="D45" s="9" t="s">
        <v>22</v>
      </c>
      <c r="E45" s="7" t="s">
        <v>16</v>
      </c>
      <c r="F45" s="7" t="s">
        <v>19</v>
      </c>
      <c r="G45" s="9" t="s">
        <v>25</v>
      </c>
      <c r="H45" s="9" t="s">
        <v>14</v>
      </c>
      <c r="I45" s="24">
        <v>9.9499999999999993</v>
      </c>
      <c r="J45" s="10">
        <v>202</v>
      </c>
      <c r="K45" s="22">
        <f t="shared" si="0"/>
        <v>2009.8999999999999</v>
      </c>
    </row>
    <row r="46" spans="2:11">
      <c r="B46" s="7">
        <v>10497</v>
      </c>
      <c r="C46" s="8">
        <v>44881</v>
      </c>
      <c r="D46" s="9" t="s">
        <v>9</v>
      </c>
      <c r="E46" s="7" t="s">
        <v>16</v>
      </c>
      <c r="F46" s="7" t="s">
        <v>19</v>
      </c>
      <c r="G46" s="9" t="s">
        <v>25</v>
      </c>
      <c r="H46" s="9" t="s">
        <v>14</v>
      </c>
      <c r="I46" s="24">
        <v>3.49</v>
      </c>
      <c r="J46" s="10">
        <v>574</v>
      </c>
      <c r="K46" s="22">
        <f t="shared" si="0"/>
        <v>2003.2600000000002</v>
      </c>
    </row>
    <row r="47" spans="2:11">
      <c r="B47" s="7">
        <v>10498</v>
      </c>
      <c r="C47" s="8">
        <v>44881</v>
      </c>
      <c r="D47" s="9" t="s">
        <v>13</v>
      </c>
      <c r="E47" s="7" t="s">
        <v>27</v>
      </c>
      <c r="F47" s="7" t="s">
        <v>19</v>
      </c>
      <c r="G47" s="9" t="s">
        <v>25</v>
      </c>
      <c r="H47" s="9" t="s">
        <v>14</v>
      </c>
      <c r="I47" s="24">
        <v>2.95</v>
      </c>
      <c r="J47" s="10">
        <v>678</v>
      </c>
      <c r="K47" s="22">
        <f t="shared" si="0"/>
        <v>2000.1000000000001</v>
      </c>
    </row>
    <row r="48" spans="2:11">
      <c r="B48" s="7">
        <v>10499</v>
      </c>
      <c r="C48" s="8">
        <v>44881</v>
      </c>
      <c r="D48" s="9" t="s">
        <v>15</v>
      </c>
      <c r="E48" s="7" t="s">
        <v>27</v>
      </c>
      <c r="F48" s="7" t="s">
        <v>19</v>
      </c>
      <c r="G48" s="9" t="s">
        <v>25</v>
      </c>
      <c r="H48" s="9" t="s">
        <v>14</v>
      </c>
      <c r="I48" s="24">
        <v>4.99</v>
      </c>
      <c r="J48" s="10">
        <v>201</v>
      </c>
      <c r="K48" s="22">
        <f t="shared" si="0"/>
        <v>1002.99</v>
      </c>
    </row>
    <row r="49" spans="2:11">
      <c r="B49" s="7">
        <v>10500</v>
      </c>
      <c r="C49" s="8">
        <v>44882</v>
      </c>
      <c r="D49" s="9" t="s">
        <v>18</v>
      </c>
      <c r="E49" s="7" t="s">
        <v>27</v>
      </c>
      <c r="F49" s="7" t="s">
        <v>19</v>
      </c>
      <c r="G49" s="9" t="s">
        <v>25</v>
      </c>
      <c r="H49" s="9" t="s">
        <v>14</v>
      </c>
      <c r="I49" s="24">
        <v>12.99</v>
      </c>
      <c r="J49" s="10">
        <v>524</v>
      </c>
      <c r="K49" s="22">
        <f t="shared" si="0"/>
        <v>6806.76</v>
      </c>
    </row>
    <row r="50" spans="2:11">
      <c r="B50" s="7">
        <v>10501</v>
      </c>
      <c r="C50" s="8">
        <v>44882</v>
      </c>
      <c r="D50" s="9" t="s">
        <v>22</v>
      </c>
      <c r="E50" s="7" t="s">
        <v>27</v>
      </c>
      <c r="F50" s="7" t="s">
        <v>19</v>
      </c>
      <c r="G50" s="9" t="s">
        <v>25</v>
      </c>
      <c r="H50" s="9" t="s">
        <v>14</v>
      </c>
      <c r="I50" s="24">
        <v>9.9499999999999993</v>
      </c>
      <c r="J50" s="10">
        <v>202</v>
      </c>
      <c r="K50" s="22">
        <f t="shared" si="0"/>
        <v>2009.8999999999999</v>
      </c>
    </row>
    <row r="51" spans="2:11">
      <c r="B51" s="7">
        <v>10502</v>
      </c>
      <c r="C51" s="8">
        <v>44882</v>
      </c>
      <c r="D51" s="9" t="s">
        <v>9</v>
      </c>
      <c r="E51" s="7" t="s">
        <v>27</v>
      </c>
      <c r="F51" s="7" t="s">
        <v>19</v>
      </c>
      <c r="G51" s="9" t="s">
        <v>25</v>
      </c>
      <c r="H51" s="9" t="s">
        <v>14</v>
      </c>
      <c r="I51" s="24">
        <v>3.49</v>
      </c>
      <c r="J51" s="10">
        <v>631</v>
      </c>
      <c r="K51" s="22">
        <f t="shared" si="0"/>
        <v>2202.19</v>
      </c>
    </row>
    <row r="52" spans="2:11">
      <c r="B52" s="7">
        <v>10503</v>
      </c>
      <c r="C52" s="8">
        <v>44882</v>
      </c>
      <c r="D52" s="9" t="s">
        <v>13</v>
      </c>
      <c r="E52" s="7" t="s">
        <v>27</v>
      </c>
      <c r="F52" s="7" t="s">
        <v>19</v>
      </c>
      <c r="G52" s="9" t="s">
        <v>25</v>
      </c>
      <c r="H52" s="9" t="s">
        <v>14</v>
      </c>
      <c r="I52" s="24">
        <v>2.95</v>
      </c>
      <c r="J52" s="10">
        <v>678</v>
      </c>
      <c r="K52" s="22">
        <f t="shared" si="0"/>
        <v>2000.1000000000001</v>
      </c>
    </row>
    <row r="53" spans="2:11">
      <c r="B53" s="7">
        <v>10504</v>
      </c>
      <c r="C53" s="8">
        <v>44882</v>
      </c>
      <c r="D53" s="9" t="s">
        <v>15</v>
      </c>
      <c r="E53" s="7" t="s">
        <v>27</v>
      </c>
      <c r="F53" s="7" t="s">
        <v>19</v>
      </c>
      <c r="G53" s="9" t="s">
        <v>25</v>
      </c>
      <c r="H53" s="9" t="s">
        <v>14</v>
      </c>
      <c r="I53" s="24">
        <v>4.99</v>
      </c>
      <c r="J53" s="10">
        <v>201</v>
      </c>
      <c r="K53" s="22">
        <f t="shared" si="0"/>
        <v>1002.99</v>
      </c>
    </row>
    <row r="54" spans="2:11">
      <c r="B54" s="7">
        <v>10505</v>
      </c>
      <c r="C54" s="8">
        <v>44883</v>
      </c>
      <c r="D54" s="9" t="s">
        <v>18</v>
      </c>
      <c r="E54" s="7" t="s">
        <v>27</v>
      </c>
      <c r="F54" s="7" t="s">
        <v>19</v>
      </c>
      <c r="G54" s="9" t="s">
        <v>25</v>
      </c>
      <c r="H54" s="9" t="s">
        <v>14</v>
      </c>
      <c r="I54" s="24">
        <v>12.99</v>
      </c>
      <c r="J54" s="10">
        <v>539</v>
      </c>
      <c r="K54" s="22">
        <f t="shared" si="0"/>
        <v>7001.61</v>
      </c>
    </row>
    <row r="55" spans="2:11">
      <c r="B55" s="7">
        <v>10506</v>
      </c>
      <c r="C55" s="8">
        <v>44883</v>
      </c>
      <c r="D55" s="9" t="s">
        <v>22</v>
      </c>
      <c r="E55" s="7" t="s">
        <v>27</v>
      </c>
      <c r="F55" s="7" t="s">
        <v>19</v>
      </c>
      <c r="G55" s="9" t="s">
        <v>25</v>
      </c>
      <c r="H55" s="9" t="s">
        <v>14</v>
      </c>
      <c r="I55" s="24">
        <v>9.9499999999999993</v>
      </c>
      <c r="J55" s="10">
        <v>202</v>
      </c>
      <c r="K55" s="22">
        <f t="shared" si="0"/>
        <v>2009.8999999999999</v>
      </c>
    </row>
    <row r="56" spans="2:11">
      <c r="B56" s="7">
        <v>10507</v>
      </c>
      <c r="C56" s="8">
        <v>44883</v>
      </c>
      <c r="D56" s="9" t="s">
        <v>9</v>
      </c>
      <c r="E56" s="7" t="s">
        <v>27</v>
      </c>
      <c r="F56" s="7" t="s">
        <v>19</v>
      </c>
      <c r="G56" s="9" t="s">
        <v>25</v>
      </c>
      <c r="H56" s="9" t="s">
        <v>14</v>
      </c>
      <c r="I56" s="24">
        <v>3.49</v>
      </c>
      <c r="J56" s="10">
        <v>688</v>
      </c>
      <c r="K56" s="22">
        <f t="shared" si="0"/>
        <v>2401.1200000000003</v>
      </c>
    </row>
    <row r="57" spans="2:11">
      <c r="B57" s="7">
        <v>10508</v>
      </c>
      <c r="C57" s="8">
        <v>44883</v>
      </c>
      <c r="D57" s="9" t="s">
        <v>13</v>
      </c>
      <c r="E57" s="7" t="s">
        <v>27</v>
      </c>
      <c r="F57" s="7" t="s">
        <v>19</v>
      </c>
      <c r="G57" s="9" t="s">
        <v>25</v>
      </c>
      <c r="H57" s="9" t="s">
        <v>14</v>
      </c>
      <c r="I57" s="24">
        <v>2.95</v>
      </c>
      <c r="J57" s="10">
        <v>678</v>
      </c>
      <c r="K57" s="22">
        <f t="shared" si="0"/>
        <v>2000.1000000000001</v>
      </c>
    </row>
    <row r="58" spans="2:11">
      <c r="B58" s="7">
        <v>10509</v>
      </c>
      <c r="C58" s="8">
        <v>44883</v>
      </c>
      <c r="D58" s="9" t="s">
        <v>15</v>
      </c>
      <c r="E58" s="7" t="s">
        <v>27</v>
      </c>
      <c r="F58" s="7" t="s">
        <v>19</v>
      </c>
      <c r="G58" s="9" t="s">
        <v>25</v>
      </c>
      <c r="H58" s="9" t="s">
        <v>14</v>
      </c>
      <c r="I58" s="24">
        <v>4.99</v>
      </c>
      <c r="J58" s="10">
        <v>201</v>
      </c>
      <c r="K58" s="22">
        <f t="shared" si="0"/>
        <v>1002.99</v>
      </c>
    </row>
    <row r="59" spans="2:11">
      <c r="B59" s="7">
        <v>10510</v>
      </c>
      <c r="C59" s="8">
        <v>44884</v>
      </c>
      <c r="D59" s="9" t="s">
        <v>18</v>
      </c>
      <c r="E59" s="7" t="s">
        <v>27</v>
      </c>
      <c r="F59" s="7" t="s">
        <v>19</v>
      </c>
      <c r="G59" s="9" t="s">
        <v>25</v>
      </c>
      <c r="H59" s="9" t="s">
        <v>14</v>
      </c>
      <c r="I59" s="24">
        <v>12.99</v>
      </c>
      <c r="J59" s="10">
        <v>509</v>
      </c>
      <c r="K59" s="22">
        <f t="shared" si="0"/>
        <v>6611.91</v>
      </c>
    </row>
    <row r="60" spans="2:11">
      <c r="B60" s="7">
        <v>10511</v>
      </c>
      <c r="C60" s="8">
        <v>44884</v>
      </c>
      <c r="D60" s="9" t="s">
        <v>22</v>
      </c>
      <c r="E60" s="7" t="s">
        <v>27</v>
      </c>
      <c r="F60" s="7" t="s">
        <v>19</v>
      </c>
      <c r="G60" s="9" t="s">
        <v>26</v>
      </c>
      <c r="H60" s="9" t="s">
        <v>17</v>
      </c>
      <c r="I60" s="24">
        <v>9.9499999999999993</v>
      </c>
      <c r="J60" s="10">
        <v>202</v>
      </c>
      <c r="K60" s="22">
        <f t="shared" si="0"/>
        <v>2009.8999999999999</v>
      </c>
    </row>
    <row r="61" spans="2:11">
      <c r="B61" s="7">
        <v>10512</v>
      </c>
      <c r="C61" s="8">
        <v>44884</v>
      </c>
      <c r="D61" s="9" t="s">
        <v>9</v>
      </c>
      <c r="E61" s="7" t="s">
        <v>27</v>
      </c>
      <c r="F61" s="7" t="s">
        <v>19</v>
      </c>
      <c r="G61" s="9" t="s">
        <v>26</v>
      </c>
      <c r="H61" s="9" t="s">
        <v>17</v>
      </c>
      <c r="I61" s="24">
        <v>3.49</v>
      </c>
      <c r="J61" s="10">
        <v>688</v>
      </c>
      <c r="K61" s="22">
        <f t="shared" si="0"/>
        <v>2401.1200000000003</v>
      </c>
    </row>
    <row r="62" spans="2:11">
      <c r="B62" s="7">
        <v>10513</v>
      </c>
      <c r="C62" s="8">
        <v>44884</v>
      </c>
      <c r="D62" s="9" t="s">
        <v>13</v>
      </c>
      <c r="E62" s="7" t="s">
        <v>27</v>
      </c>
      <c r="F62" s="7" t="s">
        <v>28</v>
      </c>
      <c r="G62" s="9" t="s">
        <v>26</v>
      </c>
      <c r="H62" s="9" t="s">
        <v>17</v>
      </c>
      <c r="I62" s="24">
        <v>2.95</v>
      </c>
      <c r="J62" s="10">
        <v>678</v>
      </c>
      <c r="K62" s="22">
        <f t="shared" si="0"/>
        <v>2000.1000000000001</v>
      </c>
    </row>
    <row r="63" spans="2:11">
      <c r="B63" s="7">
        <v>10514</v>
      </c>
      <c r="C63" s="8">
        <v>44884</v>
      </c>
      <c r="D63" s="9" t="s">
        <v>15</v>
      </c>
      <c r="E63" s="7" t="s">
        <v>27</v>
      </c>
      <c r="F63" s="7" t="s">
        <v>28</v>
      </c>
      <c r="G63" s="9" t="s">
        <v>26</v>
      </c>
      <c r="H63" s="9" t="s">
        <v>17</v>
      </c>
      <c r="I63" s="24">
        <v>4.99</v>
      </c>
      <c r="J63" s="10">
        <v>201</v>
      </c>
      <c r="K63" s="22">
        <f t="shared" si="0"/>
        <v>1002.99</v>
      </c>
    </row>
    <row r="64" spans="2:11">
      <c r="B64" s="7">
        <v>10515</v>
      </c>
      <c r="C64" s="8">
        <v>44885</v>
      </c>
      <c r="D64" s="9" t="s">
        <v>18</v>
      </c>
      <c r="E64" s="7" t="s">
        <v>27</v>
      </c>
      <c r="F64" s="7" t="s">
        <v>28</v>
      </c>
      <c r="G64" s="9" t="s">
        <v>26</v>
      </c>
      <c r="H64" s="9" t="s">
        <v>17</v>
      </c>
      <c r="I64" s="24">
        <v>12.99</v>
      </c>
      <c r="J64" s="10">
        <v>478</v>
      </c>
      <c r="K64" s="22">
        <f t="shared" si="0"/>
        <v>6209.22</v>
      </c>
    </row>
    <row r="65" spans="2:11">
      <c r="B65" s="7">
        <v>10516</v>
      </c>
      <c r="C65" s="8">
        <v>44885</v>
      </c>
      <c r="D65" s="9" t="s">
        <v>22</v>
      </c>
      <c r="E65" s="7" t="s">
        <v>27</v>
      </c>
      <c r="F65" s="7" t="s">
        <v>28</v>
      </c>
      <c r="G65" s="9" t="s">
        <v>26</v>
      </c>
      <c r="H65" s="9" t="s">
        <v>17</v>
      </c>
      <c r="I65" s="24">
        <v>9.9499999999999993</v>
      </c>
      <c r="J65" s="10">
        <v>202</v>
      </c>
      <c r="K65" s="22">
        <f t="shared" si="0"/>
        <v>2009.8999999999999</v>
      </c>
    </row>
    <row r="66" spans="2:11">
      <c r="B66" s="7">
        <v>10483</v>
      </c>
      <c r="C66" s="8">
        <v>44878</v>
      </c>
      <c r="D66" s="9" t="s">
        <v>13</v>
      </c>
      <c r="E66" s="7" t="s">
        <v>16</v>
      </c>
      <c r="F66" s="7" t="s">
        <v>19</v>
      </c>
      <c r="G66" s="9" t="s">
        <v>26</v>
      </c>
      <c r="H66" s="9" t="s">
        <v>17</v>
      </c>
      <c r="I66" s="24">
        <v>2.95</v>
      </c>
      <c r="J66" s="10">
        <v>678</v>
      </c>
      <c r="K66" s="22">
        <f t="shared" si="0"/>
        <v>2000.1000000000001</v>
      </c>
    </row>
    <row r="67" spans="2:11">
      <c r="B67" s="7">
        <v>10484</v>
      </c>
      <c r="C67" s="8">
        <v>44878</v>
      </c>
      <c r="D67" s="9" t="s">
        <v>15</v>
      </c>
      <c r="E67" s="7" t="s">
        <v>16</v>
      </c>
      <c r="F67" s="7" t="s">
        <v>19</v>
      </c>
      <c r="G67" s="9" t="s">
        <v>26</v>
      </c>
      <c r="H67" s="9" t="s">
        <v>17</v>
      </c>
      <c r="I67" s="24">
        <v>4.99</v>
      </c>
      <c r="J67" s="10">
        <v>201</v>
      </c>
      <c r="K67" s="22">
        <f t="shared" si="0"/>
        <v>1002.99</v>
      </c>
    </row>
    <row r="68" spans="2:11">
      <c r="B68" s="7">
        <v>10485</v>
      </c>
      <c r="C68" s="8">
        <v>44879</v>
      </c>
      <c r="D68" s="9" t="s">
        <v>18</v>
      </c>
      <c r="E68" s="7" t="s">
        <v>16</v>
      </c>
      <c r="F68" s="7" t="s">
        <v>19</v>
      </c>
      <c r="G68" s="9" t="s">
        <v>26</v>
      </c>
      <c r="H68" s="9" t="s">
        <v>17</v>
      </c>
      <c r="I68" s="24">
        <v>12.99</v>
      </c>
      <c r="J68" s="10">
        <v>524</v>
      </c>
      <c r="K68" s="22">
        <f t="shared" ref="K68:K131" si="1">PRODUCT(I68:J68)</f>
        <v>6806.76</v>
      </c>
    </row>
    <row r="69" spans="2:11">
      <c r="B69" s="7">
        <v>10520</v>
      </c>
      <c r="C69" s="8">
        <v>44886</v>
      </c>
      <c r="D69" s="9" t="s">
        <v>18</v>
      </c>
      <c r="E69" s="7" t="s">
        <v>27</v>
      </c>
      <c r="F69" s="7" t="s">
        <v>28</v>
      </c>
      <c r="G69" s="9" t="s">
        <v>24</v>
      </c>
      <c r="H69" s="9" t="s">
        <v>23</v>
      </c>
      <c r="I69" s="24">
        <v>12.99</v>
      </c>
      <c r="J69" s="10">
        <v>493</v>
      </c>
      <c r="K69" s="22">
        <f t="shared" si="1"/>
        <v>6404.07</v>
      </c>
    </row>
    <row r="70" spans="2:11">
      <c r="B70" s="7">
        <v>10521</v>
      </c>
      <c r="C70" s="8">
        <v>44886</v>
      </c>
      <c r="D70" s="9" t="s">
        <v>22</v>
      </c>
      <c r="E70" s="7" t="s">
        <v>27</v>
      </c>
      <c r="F70" s="7" t="s">
        <v>28</v>
      </c>
      <c r="G70" s="9" t="s">
        <v>24</v>
      </c>
      <c r="H70" s="9" t="s">
        <v>23</v>
      </c>
      <c r="I70" s="24">
        <v>9.9499999999999993</v>
      </c>
      <c r="J70" s="10">
        <v>202</v>
      </c>
      <c r="K70" s="22">
        <f t="shared" si="1"/>
        <v>2009.8999999999999</v>
      </c>
    </row>
    <row r="71" spans="2:11">
      <c r="B71" s="7">
        <v>10522</v>
      </c>
      <c r="C71" s="8">
        <v>44886</v>
      </c>
      <c r="D71" s="9" t="s">
        <v>9</v>
      </c>
      <c r="E71" s="7" t="s">
        <v>27</v>
      </c>
      <c r="F71" s="7" t="s">
        <v>28</v>
      </c>
      <c r="G71" s="9" t="s">
        <v>24</v>
      </c>
      <c r="H71" s="9" t="s">
        <v>23</v>
      </c>
      <c r="I71" s="24">
        <v>3.49</v>
      </c>
      <c r="J71" s="10">
        <v>688</v>
      </c>
      <c r="K71" s="22">
        <f t="shared" si="1"/>
        <v>2401.1200000000003</v>
      </c>
    </row>
    <row r="72" spans="2:11">
      <c r="B72" s="7">
        <v>10523</v>
      </c>
      <c r="C72" s="8">
        <v>44886</v>
      </c>
      <c r="D72" s="9" t="s">
        <v>13</v>
      </c>
      <c r="E72" s="7" t="s">
        <v>27</v>
      </c>
      <c r="F72" s="7" t="s">
        <v>28</v>
      </c>
      <c r="G72" s="9" t="s">
        <v>24</v>
      </c>
      <c r="H72" s="9" t="s">
        <v>23</v>
      </c>
      <c r="I72" s="24">
        <v>2.95</v>
      </c>
      <c r="J72" s="10">
        <v>746</v>
      </c>
      <c r="K72" s="22">
        <f t="shared" si="1"/>
        <v>2200.7000000000003</v>
      </c>
    </row>
    <row r="73" spans="2:11">
      <c r="B73" s="7">
        <v>10524</v>
      </c>
      <c r="C73" s="8">
        <v>44886</v>
      </c>
      <c r="D73" s="9" t="s">
        <v>15</v>
      </c>
      <c r="E73" s="7" t="s">
        <v>27</v>
      </c>
      <c r="F73" s="7" t="s">
        <v>28</v>
      </c>
      <c r="G73" s="9" t="s">
        <v>24</v>
      </c>
      <c r="H73" s="9" t="s">
        <v>23</v>
      </c>
      <c r="I73" s="24">
        <v>4.99</v>
      </c>
      <c r="J73" s="10">
        <v>201</v>
      </c>
      <c r="K73" s="22">
        <f t="shared" si="1"/>
        <v>1002.99</v>
      </c>
    </row>
    <row r="74" spans="2:11">
      <c r="B74" s="7">
        <v>10525</v>
      </c>
      <c r="C74" s="8">
        <v>44887</v>
      </c>
      <c r="D74" s="9" t="s">
        <v>18</v>
      </c>
      <c r="E74" s="7" t="s">
        <v>27</v>
      </c>
      <c r="F74" s="7" t="s">
        <v>28</v>
      </c>
      <c r="G74" s="9" t="s">
        <v>24</v>
      </c>
      <c r="H74" s="9" t="s">
        <v>23</v>
      </c>
      <c r="I74" s="24">
        <v>12.99</v>
      </c>
      <c r="J74" s="10">
        <v>462</v>
      </c>
      <c r="K74" s="22">
        <f t="shared" si="1"/>
        <v>6001.38</v>
      </c>
    </row>
    <row r="75" spans="2:11">
      <c r="B75" s="7">
        <v>10526</v>
      </c>
      <c r="C75" s="8">
        <v>44887</v>
      </c>
      <c r="D75" s="9" t="s">
        <v>22</v>
      </c>
      <c r="E75" s="7" t="s">
        <v>27</v>
      </c>
      <c r="F75" s="7" t="s">
        <v>28</v>
      </c>
      <c r="G75" s="9" t="s">
        <v>24</v>
      </c>
      <c r="H75" s="9" t="s">
        <v>23</v>
      </c>
      <c r="I75" s="24">
        <v>9.9499999999999993</v>
      </c>
      <c r="J75" s="10">
        <v>202</v>
      </c>
      <c r="K75" s="22">
        <f t="shared" si="1"/>
        <v>2009.8999999999999</v>
      </c>
    </row>
    <row r="76" spans="2:11">
      <c r="B76" s="7">
        <v>10527</v>
      </c>
      <c r="C76" s="8">
        <v>44887</v>
      </c>
      <c r="D76" s="9" t="s">
        <v>9</v>
      </c>
      <c r="E76" s="7" t="s">
        <v>27</v>
      </c>
      <c r="F76" s="7" t="s">
        <v>28</v>
      </c>
      <c r="G76" s="9" t="s">
        <v>24</v>
      </c>
      <c r="H76" s="9" t="s">
        <v>23</v>
      </c>
      <c r="I76" s="24">
        <v>3.49</v>
      </c>
      <c r="J76" s="10">
        <v>688</v>
      </c>
      <c r="K76" s="22">
        <f t="shared" si="1"/>
        <v>2401.1200000000003</v>
      </c>
    </row>
    <row r="77" spans="2:11">
      <c r="B77" s="7">
        <v>10528</v>
      </c>
      <c r="C77" s="8">
        <v>44887</v>
      </c>
      <c r="D77" s="9" t="s">
        <v>13</v>
      </c>
      <c r="E77" s="7" t="s">
        <v>27</v>
      </c>
      <c r="F77" s="7" t="s">
        <v>28</v>
      </c>
      <c r="G77" s="9" t="s">
        <v>24</v>
      </c>
      <c r="H77" s="9" t="s">
        <v>23</v>
      </c>
      <c r="I77" s="24">
        <v>2.95</v>
      </c>
      <c r="J77" s="10">
        <v>746</v>
      </c>
      <c r="K77" s="22">
        <f t="shared" si="1"/>
        <v>2200.7000000000003</v>
      </c>
    </row>
    <row r="78" spans="2:11">
      <c r="B78" s="7">
        <v>10529</v>
      </c>
      <c r="C78" s="8">
        <v>44887</v>
      </c>
      <c r="D78" s="9" t="s">
        <v>15</v>
      </c>
      <c r="E78" s="7" t="s">
        <v>27</v>
      </c>
      <c r="F78" s="7" t="s">
        <v>28</v>
      </c>
      <c r="G78" s="9" t="s">
        <v>24</v>
      </c>
      <c r="H78" s="9" t="s">
        <v>23</v>
      </c>
      <c r="I78" s="24">
        <v>4.99</v>
      </c>
      <c r="J78" s="10">
        <v>201</v>
      </c>
      <c r="K78" s="22">
        <f t="shared" si="1"/>
        <v>1002.99</v>
      </c>
    </row>
    <row r="79" spans="2:11">
      <c r="B79" s="7">
        <v>10530</v>
      </c>
      <c r="C79" s="8">
        <v>44888</v>
      </c>
      <c r="D79" s="9" t="s">
        <v>18</v>
      </c>
      <c r="E79" s="7" t="s">
        <v>27</v>
      </c>
      <c r="F79" s="7" t="s">
        <v>28</v>
      </c>
      <c r="G79" s="9" t="s">
        <v>24</v>
      </c>
      <c r="H79" s="9" t="s">
        <v>23</v>
      </c>
      <c r="I79" s="24">
        <v>12.99</v>
      </c>
      <c r="J79" s="10">
        <v>478</v>
      </c>
      <c r="K79" s="22">
        <f t="shared" si="1"/>
        <v>6209.22</v>
      </c>
    </row>
    <row r="80" spans="2:11">
      <c r="B80" s="7">
        <v>10531</v>
      </c>
      <c r="C80" s="8">
        <v>44888</v>
      </c>
      <c r="D80" s="9" t="s">
        <v>22</v>
      </c>
      <c r="E80" s="7" t="s">
        <v>27</v>
      </c>
      <c r="F80" s="7" t="s">
        <v>28</v>
      </c>
      <c r="G80" s="9" t="s">
        <v>24</v>
      </c>
      <c r="H80" s="9" t="s">
        <v>23</v>
      </c>
      <c r="I80" s="24">
        <v>9.9499999999999993</v>
      </c>
      <c r="J80" s="10">
        <v>202</v>
      </c>
      <c r="K80" s="22">
        <f t="shared" si="1"/>
        <v>2009.8999999999999</v>
      </c>
    </row>
    <row r="81" spans="2:11">
      <c r="B81" s="7">
        <v>10532</v>
      </c>
      <c r="C81" s="8">
        <v>44888</v>
      </c>
      <c r="D81" s="9" t="s">
        <v>9</v>
      </c>
      <c r="E81" s="7" t="s">
        <v>27</v>
      </c>
      <c r="F81" s="7" t="s">
        <v>28</v>
      </c>
      <c r="G81" s="9" t="s">
        <v>26</v>
      </c>
      <c r="H81" s="9" t="s">
        <v>17</v>
      </c>
      <c r="I81" s="24">
        <v>3.49</v>
      </c>
      <c r="J81" s="10">
        <v>688</v>
      </c>
      <c r="K81" s="22">
        <f t="shared" si="1"/>
        <v>2401.1200000000003</v>
      </c>
    </row>
    <row r="82" spans="2:11">
      <c r="B82" s="7">
        <v>10533</v>
      </c>
      <c r="C82" s="8">
        <v>44888</v>
      </c>
      <c r="D82" s="9" t="s">
        <v>13</v>
      </c>
      <c r="E82" s="7" t="s">
        <v>27</v>
      </c>
      <c r="F82" s="7" t="s">
        <v>28</v>
      </c>
      <c r="G82" s="9" t="s">
        <v>26</v>
      </c>
      <c r="H82" s="9" t="s">
        <v>17</v>
      </c>
      <c r="I82" s="24">
        <v>2.95</v>
      </c>
      <c r="J82" s="10">
        <v>746</v>
      </c>
      <c r="K82" s="22">
        <f t="shared" si="1"/>
        <v>2200.7000000000003</v>
      </c>
    </row>
    <row r="83" spans="2:11">
      <c r="B83" s="7">
        <v>10534</v>
      </c>
      <c r="C83" s="8">
        <v>44888</v>
      </c>
      <c r="D83" s="9" t="s">
        <v>15</v>
      </c>
      <c r="E83" s="7" t="s">
        <v>27</v>
      </c>
      <c r="F83" s="7" t="s">
        <v>28</v>
      </c>
      <c r="G83" s="9" t="s">
        <v>25</v>
      </c>
      <c r="H83" s="9" t="s">
        <v>14</v>
      </c>
      <c r="I83" s="24">
        <v>4.99</v>
      </c>
      <c r="J83" s="10">
        <v>201</v>
      </c>
      <c r="K83" s="22">
        <f t="shared" si="1"/>
        <v>1002.99</v>
      </c>
    </row>
    <row r="84" spans="2:11">
      <c r="B84" s="7">
        <v>10535</v>
      </c>
      <c r="C84" s="8">
        <v>44889</v>
      </c>
      <c r="D84" s="9" t="s">
        <v>18</v>
      </c>
      <c r="E84" s="7" t="s">
        <v>27</v>
      </c>
      <c r="F84" s="7" t="s">
        <v>19</v>
      </c>
      <c r="G84" s="9" t="s">
        <v>25</v>
      </c>
      <c r="H84" s="9" t="s">
        <v>14</v>
      </c>
      <c r="I84" s="24">
        <v>12.99</v>
      </c>
      <c r="J84" s="10">
        <v>478</v>
      </c>
      <c r="K84" s="22">
        <f t="shared" si="1"/>
        <v>6209.22</v>
      </c>
    </row>
    <row r="85" spans="2:11">
      <c r="B85" s="7">
        <v>10536</v>
      </c>
      <c r="C85" s="8">
        <v>44889</v>
      </c>
      <c r="D85" s="9" t="s">
        <v>22</v>
      </c>
      <c r="E85" s="7" t="s">
        <v>27</v>
      </c>
      <c r="F85" s="7" t="s">
        <v>19</v>
      </c>
      <c r="G85" s="9" t="s">
        <v>25</v>
      </c>
      <c r="H85" s="9" t="s">
        <v>14</v>
      </c>
      <c r="I85" s="24">
        <v>9.9499999999999993</v>
      </c>
      <c r="J85" s="10">
        <v>202</v>
      </c>
      <c r="K85" s="22">
        <f t="shared" si="1"/>
        <v>2009.8999999999999</v>
      </c>
    </row>
    <row r="86" spans="2:11">
      <c r="B86" s="7">
        <v>10537</v>
      </c>
      <c r="C86" s="8">
        <v>44889</v>
      </c>
      <c r="D86" s="9" t="s">
        <v>9</v>
      </c>
      <c r="E86" s="7" t="s">
        <v>27</v>
      </c>
      <c r="F86" s="7" t="s">
        <v>19</v>
      </c>
      <c r="G86" s="9" t="s">
        <v>25</v>
      </c>
      <c r="H86" s="9" t="s">
        <v>14</v>
      </c>
      <c r="I86" s="24">
        <v>3.49</v>
      </c>
      <c r="J86" s="10">
        <v>631</v>
      </c>
      <c r="K86" s="22">
        <f t="shared" si="1"/>
        <v>2202.19</v>
      </c>
    </row>
    <row r="87" spans="2:11">
      <c r="B87" s="7">
        <v>10538</v>
      </c>
      <c r="C87" s="8">
        <v>44889</v>
      </c>
      <c r="D87" s="9" t="s">
        <v>13</v>
      </c>
      <c r="E87" s="7" t="s">
        <v>27</v>
      </c>
      <c r="F87" s="7" t="s">
        <v>19</v>
      </c>
      <c r="G87" s="9" t="s">
        <v>25</v>
      </c>
      <c r="H87" s="9" t="s">
        <v>14</v>
      </c>
      <c r="I87" s="24">
        <v>2.95</v>
      </c>
      <c r="J87" s="10">
        <v>746</v>
      </c>
      <c r="K87" s="22">
        <f t="shared" si="1"/>
        <v>2200.7000000000003</v>
      </c>
    </row>
    <row r="88" spans="2:11">
      <c r="B88" s="7">
        <v>10539</v>
      </c>
      <c r="C88" s="8">
        <v>44889</v>
      </c>
      <c r="D88" s="9" t="s">
        <v>15</v>
      </c>
      <c r="E88" s="7" t="s">
        <v>27</v>
      </c>
      <c r="F88" s="7" t="s">
        <v>19</v>
      </c>
      <c r="G88" s="9" t="s">
        <v>25</v>
      </c>
      <c r="H88" s="9" t="s">
        <v>14</v>
      </c>
      <c r="I88" s="24">
        <v>4.99</v>
      </c>
      <c r="J88" s="10">
        <v>201</v>
      </c>
      <c r="K88" s="22">
        <f t="shared" si="1"/>
        <v>1002.99</v>
      </c>
    </row>
    <row r="89" spans="2:11">
      <c r="B89" s="7">
        <v>10540</v>
      </c>
      <c r="C89" s="8">
        <v>44890</v>
      </c>
      <c r="D89" s="9" t="s">
        <v>18</v>
      </c>
      <c r="E89" s="7" t="s">
        <v>27</v>
      </c>
      <c r="F89" s="7" t="s">
        <v>19</v>
      </c>
      <c r="G89" s="9" t="s">
        <v>25</v>
      </c>
      <c r="H89" s="9" t="s">
        <v>14</v>
      </c>
      <c r="I89" s="24">
        <v>12.99</v>
      </c>
      <c r="J89" s="10">
        <v>462</v>
      </c>
      <c r="K89" s="22">
        <f t="shared" si="1"/>
        <v>6001.38</v>
      </c>
    </row>
    <row r="90" spans="2:11">
      <c r="B90" s="7">
        <v>10541</v>
      </c>
      <c r="C90" s="8">
        <v>44890</v>
      </c>
      <c r="D90" s="9" t="s">
        <v>22</v>
      </c>
      <c r="E90" s="7" t="s">
        <v>27</v>
      </c>
      <c r="F90" s="7" t="s">
        <v>19</v>
      </c>
      <c r="G90" s="9" t="s">
        <v>29</v>
      </c>
      <c r="H90" s="9" t="s">
        <v>12</v>
      </c>
      <c r="I90" s="24">
        <v>9.9499999999999993</v>
      </c>
      <c r="J90" s="10">
        <v>202</v>
      </c>
      <c r="K90" s="22">
        <f t="shared" si="1"/>
        <v>2009.8999999999999</v>
      </c>
    </row>
    <row r="91" spans="2:11">
      <c r="B91" s="7">
        <v>10542</v>
      </c>
      <c r="C91" s="8">
        <v>44890</v>
      </c>
      <c r="D91" s="9" t="s">
        <v>9</v>
      </c>
      <c r="E91" s="7" t="s">
        <v>27</v>
      </c>
      <c r="F91" s="7" t="s">
        <v>19</v>
      </c>
      <c r="G91" s="9" t="s">
        <v>29</v>
      </c>
      <c r="H91" s="9" t="s">
        <v>12</v>
      </c>
      <c r="I91" s="24">
        <v>3.49</v>
      </c>
      <c r="J91" s="10">
        <v>631</v>
      </c>
      <c r="K91" s="22">
        <f t="shared" si="1"/>
        <v>2202.19</v>
      </c>
    </row>
    <row r="92" spans="2:11">
      <c r="B92" s="7">
        <v>10543</v>
      </c>
      <c r="C92" s="8">
        <v>44890</v>
      </c>
      <c r="D92" s="9" t="s">
        <v>13</v>
      </c>
      <c r="E92" s="7" t="s">
        <v>27</v>
      </c>
      <c r="F92" s="7" t="s">
        <v>19</v>
      </c>
      <c r="G92" s="9" t="s">
        <v>29</v>
      </c>
      <c r="H92" s="9" t="s">
        <v>12</v>
      </c>
      <c r="I92" s="24">
        <v>2.95</v>
      </c>
      <c r="J92" s="10">
        <v>746</v>
      </c>
      <c r="K92" s="22">
        <f t="shared" si="1"/>
        <v>2200.7000000000003</v>
      </c>
    </row>
    <row r="93" spans="2:11">
      <c r="B93" s="7">
        <v>10544</v>
      </c>
      <c r="C93" s="8">
        <v>44890</v>
      </c>
      <c r="D93" s="9" t="s">
        <v>15</v>
      </c>
      <c r="E93" s="7" t="s">
        <v>27</v>
      </c>
      <c r="F93" s="7" t="s">
        <v>19</v>
      </c>
      <c r="G93" s="9" t="s">
        <v>29</v>
      </c>
      <c r="H93" s="9" t="s">
        <v>12</v>
      </c>
      <c r="I93" s="24">
        <v>4.99</v>
      </c>
      <c r="J93" s="10">
        <v>201</v>
      </c>
      <c r="K93" s="22">
        <f t="shared" si="1"/>
        <v>1002.99</v>
      </c>
    </row>
    <row r="94" spans="2:11">
      <c r="B94" s="7">
        <v>10545</v>
      </c>
      <c r="C94" s="8">
        <v>44891</v>
      </c>
      <c r="D94" s="9" t="s">
        <v>18</v>
      </c>
      <c r="E94" s="7" t="s">
        <v>27</v>
      </c>
      <c r="F94" s="7" t="s">
        <v>19</v>
      </c>
      <c r="G94" s="9" t="s">
        <v>29</v>
      </c>
      <c r="H94" s="9" t="s">
        <v>12</v>
      </c>
      <c r="I94" s="24">
        <v>12.99</v>
      </c>
      <c r="J94" s="10">
        <v>447</v>
      </c>
      <c r="K94" s="22">
        <f t="shared" si="1"/>
        <v>5806.53</v>
      </c>
    </row>
    <row r="95" spans="2:11">
      <c r="B95" s="7">
        <v>10546</v>
      </c>
      <c r="C95" s="8">
        <v>44891</v>
      </c>
      <c r="D95" s="9" t="s">
        <v>22</v>
      </c>
      <c r="E95" s="7" t="s">
        <v>27</v>
      </c>
      <c r="F95" s="7" t="s">
        <v>19</v>
      </c>
      <c r="G95" s="9" t="s">
        <v>29</v>
      </c>
      <c r="H95" s="9" t="s">
        <v>12</v>
      </c>
      <c r="I95" s="24">
        <v>9.9499999999999993</v>
      </c>
      <c r="J95" s="10">
        <v>202</v>
      </c>
      <c r="K95" s="22">
        <f t="shared" si="1"/>
        <v>2009.8999999999999</v>
      </c>
    </row>
    <row r="96" spans="2:11">
      <c r="B96" s="7">
        <v>10547</v>
      </c>
      <c r="C96" s="8">
        <v>44891</v>
      </c>
      <c r="D96" s="9" t="s">
        <v>9</v>
      </c>
      <c r="E96" s="7" t="s">
        <v>27</v>
      </c>
      <c r="F96" s="7" t="s">
        <v>19</v>
      </c>
      <c r="G96" s="9" t="s">
        <v>29</v>
      </c>
      <c r="H96" s="9" t="s">
        <v>12</v>
      </c>
      <c r="I96" s="24">
        <v>3.49</v>
      </c>
      <c r="J96" s="10">
        <v>631</v>
      </c>
      <c r="K96" s="22">
        <f t="shared" si="1"/>
        <v>2202.19</v>
      </c>
    </row>
    <row r="97" spans="2:11">
      <c r="B97" s="7">
        <v>10548</v>
      </c>
      <c r="C97" s="8">
        <v>44891</v>
      </c>
      <c r="D97" s="9" t="s">
        <v>13</v>
      </c>
      <c r="E97" s="7" t="s">
        <v>27</v>
      </c>
      <c r="F97" s="7" t="s">
        <v>19</v>
      </c>
      <c r="G97" s="9" t="s">
        <v>29</v>
      </c>
      <c r="H97" s="9" t="s">
        <v>12</v>
      </c>
      <c r="I97" s="24">
        <v>2.95</v>
      </c>
      <c r="J97" s="10">
        <v>746</v>
      </c>
      <c r="K97" s="22">
        <f t="shared" si="1"/>
        <v>2200.7000000000003</v>
      </c>
    </row>
    <row r="98" spans="2:11">
      <c r="B98" s="7">
        <v>10549</v>
      </c>
      <c r="C98" s="8">
        <v>44891</v>
      </c>
      <c r="D98" s="9" t="s">
        <v>15</v>
      </c>
      <c r="E98" s="7" t="s">
        <v>27</v>
      </c>
      <c r="F98" s="7" t="s">
        <v>19</v>
      </c>
      <c r="G98" s="9" t="s">
        <v>29</v>
      </c>
      <c r="H98" s="9" t="s">
        <v>12</v>
      </c>
      <c r="I98" s="24">
        <v>4.99</v>
      </c>
      <c r="J98" s="10">
        <v>201</v>
      </c>
      <c r="K98" s="22">
        <f t="shared" si="1"/>
        <v>1002.99</v>
      </c>
    </row>
    <row r="99" spans="2:11">
      <c r="B99" s="7">
        <v>10550</v>
      </c>
      <c r="C99" s="8">
        <v>44892</v>
      </c>
      <c r="D99" s="9" t="s">
        <v>18</v>
      </c>
      <c r="E99" s="7" t="s">
        <v>27</v>
      </c>
      <c r="F99" s="7" t="s">
        <v>19</v>
      </c>
      <c r="G99" s="9" t="s">
        <v>29</v>
      </c>
      <c r="H99" s="9" t="s">
        <v>12</v>
      </c>
      <c r="I99" s="24">
        <v>12.99</v>
      </c>
      <c r="J99" s="10">
        <v>462</v>
      </c>
      <c r="K99" s="22">
        <f t="shared" si="1"/>
        <v>6001.38</v>
      </c>
    </row>
    <row r="100" spans="2:11">
      <c r="B100" s="7">
        <v>10551</v>
      </c>
      <c r="C100" s="8">
        <v>44892</v>
      </c>
      <c r="D100" s="9" t="s">
        <v>22</v>
      </c>
      <c r="E100" s="7" t="s">
        <v>27</v>
      </c>
      <c r="F100" s="7" t="s">
        <v>19</v>
      </c>
      <c r="G100" s="9" t="s">
        <v>29</v>
      </c>
      <c r="H100" s="9" t="s">
        <v>12</v>
      </c>
      <c r="I100" s="24">
        <v>9.9499999999999993</v>
      </c>
      <c r="J100" s="10">
        <v>202</v>
      </c>
      <c r="K100" s="22">
        <f t="shared" si="1"/>
        <v>2009.8999999999999</v>
      </c>
    </row>
    <row r="101" spans="2:11">
      <c r="B101" s="7">
        <v>10552</v>
      </c>
      <c r="C101" s="8">
        <v>44892</v>
      </c>
      <c r="D101" s="9" t="s">
        <v>9</v>
      </c>
      <c r="E101" s="7" t="s">
        <v>10</v>
      </c>
      <c r="F101" s="7" t="s">
        <v>19</v>
      </c>
      <c r="G101" s="9" t="s">
        <v>29</v>
      </c>
      <c r="H101" s="9" t="s">
        <v>12</v>
      </c>
      <c r="I101" s="24">
        <v>3.49</v>
      </c>
      <c r="J101" s="10">
        <v>631</v>
      </c>
      <c r="K101" s="22">
        <f t="shared" si="1"/>
        <v>2202.19</v>
      </c>
    </row>
    <row r="102" spans="2:11">
      <c r="B102" s="7">
        <v>10553</v>
      </c>
      <c r="C102" s="8">
        <v>44892</v>
      </c>
      <c r="D102" s="9" t="s">
        <v>13</v>
      </c>
      <c r="E102" s="7" t="s">
        <v>10</v>
      </c>
      <c r="F102" s="7" t="s">
        <v>19</v>
      </c>
      <c r="G102" s="9" t="s">
        <v>29</v>
      </c>
      <c r="H102" s="9" t="s">
        <v>12</v>
      </c>
      <c r="I102" s="24">
        <v>2.95</v>
      </c>
      <c r="J102" s="10">
        <v>746</v>
      </c>
      <c r="K102" s="22">
        <f t="shared" si="1"/>
        <v>2200.7000000000003</v>
      </c>
    </row>
    <row r="103" spans="2:11">
      <c r="B103" s="7">
        <v>10554</v>
      </c>
      <c r="C103" s="8">
        <v>44892</v>
      </c>
      <c r="D103" s="9" t="s">
        <v>15</v>
      </c>
      <c r="E103" s="7" t="s">
        <v>10</v>
      </c>
      <c r="F103" s="7" t="s">
        <v>19</v>
      </c>
      <c r="G103" s="9" t="s">
        <v>29</v>
      </c>
      <c r="H103" s="9" t="s">
        <v>12</v>
      </c>
      <c r="I103" s="24">
        <v>4.99</v>
      </c>
      <c r="J103" s="10">
        <v>201</v>
      </c>
      <c r="K103" s="22">
        <f t="shared" si="1"/>
        <v>1002.99</v>
      </c>
    </row>
    <row r="104" spans="2:11">
      <c r="B104" s="7">
        <v>10555</v>
      </c>
      <c r="C104" s="8">
        <v>44893</v>
      </c>
      <c r="D104" s="9" t="s">
        <v>18</v>
      </c>
      <c r="E104" s="7" t="s">
        <v>10</v>
      </c>
      <c r="F104" s="7" t="s">
        <v>19</v>
      </c>
      <c r="G104" s="9" t="s">
        <v>29</v>
      </c>
      <c r="H104" s="9" t="s">
        <v>12</v>
      </c>
      <c r="I104" s="24">
        <v>12.99</v>
      </c>
      <c r="J104" s="10">
        <v>478</v>
      </c>
      <c r="K104" s="22">
        <f t="shared" si="1"/>
        <v>6209.22</v>
      </c>
    </row>
    <row r="105" spans="2:11">
      <c r="B105" s="7">
        <v>10556</v>
      </c>
      <c r="C105" s="8">
        <v>44893</v>
      </c>
      <c r="D105" s="9" t="s">
        <v>22</v>
      </c>
      <c r="E105" s="7" t="s">
        <v>10</v>
      </c>
      <c r="F105" s="7" t="s">
        <v>19</v>
      </c>
      <c r="G105" s="9" t="s">
        <v>29</v>
      </c>
      <c r="H105" s="9" t="s">
        <v>12</v>
      </c>
      <c r="I105" s="24">
        <v>9.9499999999999993</v>
      </c>
      <c r="J105" s="10">
        <v>202</v>
      </c>
      <c r="K105" s="22">
        <f t="shared" si="1"/>
        <v>2009.8999999999999</v>
      </c>
    </row>
    <row r="106" spans="2:11">
      <c r="B106" s="7">
        <v>10557</v>
      </c>
      <c r="C106" s="8">
        <v>44893</v>
      </c>
      <c r="D106" s="9" t="s">
        <v>9</v>
      </c>
      <c r="E106" s="7" t="s">
        <v>10</v>
      </c>
      <c r="F106" s="7" t="s">
        <v>19</v>
      </c>
      <c r="G106" s="9" t="s">
        <v>29</v>
      </c>
      <c r="H106" s="9" t="s">
        <v>12</v>
      </c>
      <c r="I106" s="24">
        <v>3.49</v>
      </c>
      <c r="J106" s="10">
        <v>631</v>
      </c>
      <c r="K106" s="22">
        <f t="shared" si="1"/>
        <v>2202.19</v>
      </c>
    </row>
    <row r="107" spans="2:11">
      <c r="B107" s="7">
        <v>10558</v>
      </c>
      <c r="C107" s="8">
        <v>44893</v>
      </c>
      <c r="D107" s="9" t="s">
        <v>13</v>
      </c>
      <c r="E107" s="7" t="s">
        <v>10</v>
      </c>
      <c r="F107" s="7" t="s">
        <v>19</v>
      </c>
      <c r="G107" s="9" t="s">
        <v>29</v>
      </c>
      <c r="H107" s="9" t="s">
        <v>12</v>
      </c>
      <c r="I107" s="24">
        <v>2.95</v>
      </c>
      <c r="J107" s="10">
        <v>678</v>
      </c>
      <c r="K107" s="22">
        <f t="shared" si="1"/>
        <v>2000.1000000000001</v>
      </c>
    </row>
    <row r="108" spans="2:11">
      <c r="B108" s="7">
        <v>10559</v>
      </c>
      <c r="C108" s="8">
        <v>44893</v>
      </c>
      <c r="D108" s="9" t="s">
        <v>15</v>
      </c>
      <c r="E108" s="7" t="s">
        <v>10</v>
      </c>
      <c r="F108" s="7" t="s">
        <v>19</v>
      </c>
      <c r="G108" s="9" t="s">
        <v>29</v>
      </c>
      <c r="H108" s="9" t="s">
        <v>12</v>
      </c>
      <c r="I108" s="24">
        <v>4.99</v>
      </c>
      <c r="J108" s="10">
        <v>201</v>
      </c>
      <c r="K108" s="22">
        <f t="shared" si="1"/>
        <v>1002.99</v>
      </c>
    </row>
    <row r="109" spans="2:11">
      <c r="B109" s="7">
        <v>10560</v>
      </c>
      <c r="C109" s="8">
        <v>44894</v>
      </c>
      <c r="D109" s="9" t="s">
        <v>18</v>
      </c>
      <c r="E109" s="7" t="s">
        <v>10</v>
      </c>
      <c r="F109" s="7" t="s">
        <v>19</v>
      </c>
      <c r="G109" s="9" t="s">
        <v>29</v>
      </c>
      <c r="H109" s="9" t="s">
        <v>12</v>
      </c>
      <c r="I109" s="24">
        <v>12.99</v>
      </c>
      <c r="J109" s="10">
        <v>478</v>
      </c>
      <c r="K109" s="22">
        <f t="shared" si="1"/>
        <v>6209.22</v>
      </c>
    </row>
    <row r="110" spans="2:11">
      <c r="B110" s="7">
        <v>10561</v>
      </c>
      <c r="C110" s="8">
        <v>44894</v>
      </c>
      <c r="D110" s="9" t="s">
        <v>22</v>
      </c>
      <c r="E110" s="7" t="s">
        <v>10</v>
      </c>
      <c r="F110" s="7" t="s">
        <v>19</v>
      </c>
      <c r="G110" s="9" t="s">
        <v>29</v>
      </c>
      <c r="H110" s="9" t="s">
        <v>12</v>
      </c>
      <c r="I110" s="24">
        <v>9.9499999999999993</v>
      </c>
      <c r="J110" s="10">
        <v>202</v>
      </c>
      <c r="K110" s="22">
        <f t="shared" si="1"/>
        <v>2009.8999999999999</v>
      </c>
    </row>
    <row r="111" spans="2:11">
      <c r="B111" s="7">
        <v>10562</v>
      </c>
      <c r="C111" s="8">
        <v>44894</v>
      </c>
      <c r="D111" s="9" t="s">
        <v>9</v>
      </c>
      <c r="E111" s="7" t="s">
        <v>10</v>
      </c>
      <c r="F111" s="7" t="s">
        <v>19</v>
      </c>
      <c r="G111" s="9" t="s">
        <v>29</v>
      </c>
      <c r="H111" s="9" t="s">
        <v>12</v>
      </c>
      <c r="I111" s="24">
        <v>3.49</v>
      </c>
      <c r="J111" s="10">
        <v>631</v>
      </c>
      <c r="K111" s="22">
        <f t="shared" si="1"/>
        <v>2202.19</v>
      </c>
    </row>
    <row r="112" spans="2:11">
      <c r="B112" s="7">
        <v>10563</v>
      </c>
      <c r="C112" s="8">
        <v>44894</v>
      </c>
      <c r="D112" s="9" t="s">
        <v>13</v>
      </c>
      <c r="E112" s="7" t="s">
        <v>10</v>
      </c>
      <c r="F112" s="7" t="s">
        <v>19</v>
      </c>
      <c r="G112" s="9" t="s">
        <v>29</v>
      </c>
      <c r="H112" s="9" t="s">
        <v>12</v>
      </c>
      <c r="I112" s="24">
        <v>2.95</v>
      </c>
      <c r="J112" s="10">
        <v>678</v>
      </c>
      <c r="K112" s="22">
        <f t="shared" si="1"/>
        <v>2000.1000000000001</v>
      </c>
    </row>
    <row r="113" spans="2:11">
      <c r="B113" s="7">
        <v>10564</v>
      </c>
      <c r="C113" s="8">
        <v>44894</v>
      </c>
      <c r="D113" s="9" t="s">
        <v>15</v>
      </c>
      <c r="E113" s="7" t="s">
        <v>10</v>
      </c>
      <c r="F113" s="7" t="s">
        <v>19</v>
      </c>
      <c r="G113" s="9" t="s">
        <v>29</v>
      </c>
      <c r="H113" s="9" t="s">
        <v>12</v>
      </c>
      <c r="I113" s="24">
        <v>4.99</v>
      </c>
      <c r="J113" s="10">
        <v>201</v>
      </c>
      <c r="K113" s="22">
        <f t="shared" si="1"/>
        <v>1002.99</v>
      </c>
    </row>
    <row r="114" spans="2:11">
      <c r="B114" s="7">
        <v>10565</v>
      </c>
      <c r="C114" s="8">
        <v>44895</v>
      </c>
      <c r="D114" s="9" t="s">
        <v>18</v>
      </c>
      <c r="E114" s="7" t="s">
        <v>10</v>
      </c>
      <c r="F114" s="7" t="s">
        <v>19</v>
      </c>
      <c r="G114" s="9" t="s">
        <v>29</v>
      </c>
      <c r="H114" s="9" t="s">
        <v>12</v>
      </c>
      <c r="I114" s="24">
        <v>12.99</v>
      </c>
      <c r="J114" s="10">
        <v>493</v>
      </c>
      <c r="K114" s="22">
        <f t="shared" si="1"/>
        <v>6404.07</v>
      </c>
    </row>
    <row r="115" spans="2:11">
      <c r="B115" s="7">
        <v>10566</v>
      </c>
      <c r="C115" s="8">
        <v>44895</v>
      </c>
      <c r="D115" s="9" t="s">
        <v>22</v>
      </c>
      <c r="E115" s="7" t="s">
        <v>10</v>
      </c>
      <c r="F115" s="7" t="s">
        <v>19</v>
      </c>
      <c r="G115" s="9" t="s">
        <v>29</v>
      </c>
      <c r="H115" s="9" t="s">
        <v>12</v>
      </c>
      <c r="I115" s="24">
        <v>9.9499999999999993</v>
      </c>
      <c r="J115" s="10">
        <v>202</v>
      </c>
      <c r="K115" s="22">
        <f t="shared" si="1"/>
        <v>2009.8999999999999</v>
      </c>
    </row>
    <row r="116" spans="2:11">
      <c r="B116" s="7">
        <v>10567</v>
      </c>
      <c r="C116" s="8">
        <v>44895</v>
      </c>
      <c r="D116" s="9" t="s">
        <v>9</v>
      </c>
      <c r="E116" s="7" t="s">
        <v>10</v>
      </c>
      <c r="F116" s="7" t="s">
        <v>19</v>
      </c>
      <c r="G116" s="9" t="s">
        <v>29</v>
      </c>
      <c r="H116" s="9" t="s">
        <v>12</v>
      </c>
      <c r="I116" s="24">
        <v>3.49</v>
      </c>
      <c r="J116" s="10">
        <v>631</v>
      </c>
      <c r="K116" s="22">
        <f t="shared" si="1"/>
        <v>2202.19</v>
      </c>
    </row>
    <row r="117" spans="2:11">
      <c r="B117" s="7">
        <v>10568</v>
      </c>
      <c r="C117" s="8">
        <v>44895</v>
      </c>
      <c r="D117" s="9" t="s">
        <v>13</v>
      </c>
      <c r="E117" s="7" t="s">
        <v>10</v>
      </c>
      <c r="F117" s="7" t="s">
        <v>19</v>
      </c>
      <c r="G117" s="9" t="s">
        <v>29</v>
      </c>
      <c r="H117" s="9" t="s">
        <v>12</v>
      </c>
      <c r="I117" s="24">
        <v>2.95</v>
      </c>
      <c r="J117" s="10">
        <v>678</v>
      </c>
      <c r="K117" s="22">
        <f t="shared" si="1"/>
        <v>2000.1000000000001</v>
      </c>
    </row>
    <row r="118" spans="2:11">
      <c r="B118" s="7">
        <v>10569</v>
      </c>
      <c r="C118" s="8">
        <v>44895</v>
      </c>
      <c r="D118" s="9" t="s">
        <v>15</v>
      </c>
      <c r="E118" s="7" t="s">
        <v>10</v>
      </c>
      <c r="F118" s="7" t="s">
        <v>19</v>
      </c>
      <c r="G118" s="9" t="s">
        <v>29</v>
      </c>
      <c r="H118" s="9" t="s">
        <v>12</v>
      </c>
      <c r="I118" s="24">
        <v>4.99</v>
      </c>
      <c r="J118" s="10">
        <v>201</v>
      </c>
      <c r="K118" s="22">
        <f t="shared" si="1"/>
        <v>1002.99</v>
      </c>
    </row>
    <row r="119" spans="2:11">
      <c r="B119" s="7">
        <v>10570</v>
      </c>
      <c r="C119" s="8">
        <v>44896</v>
      </c>
      <c r="D119" s="9" t="s">
        <v>18</v>
      </c>
      <c r="E119" s="7" t="s">
        <v>10</v>
      </c>
      <c r="F119" s="7" t="s">
        <v>19</v>
      </c>
      <c r="G119" s="9" t="s">
        <v>29</v>
      </c>
      <c r="H119" s="9" t="s">
        <v>12</v>
      </c>
      <c r="I119" s="24">
        <v>12.99</v>
      </c>
      <c r="J119" s="10">
        <v>493</v>
      </c>
      <c r="K119" s="22">
        <f t="shared" si="1"/>
        <v>6404.07</v>
      </c>
    </row>
    <row r="120" spans="2:11">
      <c r="B120" s="7">
        <v>10571</v>
      </c>
      <c r="C120" s="8">
        <v>44896</v>
      </c>
      <c r="D120" s="9" t="s">
        <v>22</v>
      </c>
      <c r="E120" s="7" t="s">
        <v>10</v>
      </c>
      <c r="F120" s="7" t="s">
        <v>19</v>
      </c>
      <c r="G120" s="9" t="s">
        <v>29</v>
      </c>
      <c r="H120" s="9" t="s">
        <v>12</v>
      </c>
      <c r="I120" s="24">
        <v>9.9499999999999993</v>
      </c>
      <c r="J120" s="10">
        <v>202</v>
      </c>
      <c r="K120" s="22">
        <f t="shared" si="1"/>
        <v>2009.8999999999999</v>
      </c>
    </row>
    <row r="121" spans="2:11">
      <c r="B121" s="7">
        <v>10572</v>
      </c>
      <c r="C121" s="8">
        <v>44896</v>
      </c>
      <c r="D121" s="9" t="s">
        <v>9</v>
      </c>
      <c r="E121" s="7" t="s">
        <v>10</v>
      </c>
      <c r="F121" s="7" t="s">
        <v>19</v>
      </c>
      <c r="G121" s="9" t="s">
        <v>24</v>
      </c>
      <c r="H121" s="9" t="s">
        <v>23</v>
      </c>
      <c r="I121" s="24">
        <v>3.49</v>
      </c>
      <c r="J121" s="10">
        <v>574</v>
      </c>
      <c r="K121" s="22">
        <f t="shared" si="1"/>
        <v>2003.2600000000002</v>
      </c>
    </row>
    <row r="122" spans="2:11">
      <c r="B122" s="7">
        <v>10573</v>
      </c>
      <c r="C122" s="8">
        <v>44896</v>
      </c>
      <c r="D122" s="9" t="s">
        <v>13</v>
      </c>
      <c r="E122" s="7" t="s">
        <v>10</v>
      </c>
      <c r="F122" s="7" t="s">
        <v>19</v>
      </c>
      <c r="G122" s="9" t="s">
        <v>24</v>
      </c>
      <c r="H122" s="9" t="s">
        <v>23</v>
      </c>
      <c r="I122" s="24">
        <v>2.95</v>
      </c>
      <c r="J122" s="10">
        <v>678</v>
      </c>
      <c r="K122" s="22">
        <f t="shared" si="1"/>
        <v>2000.1000000000001</v>
      </c>
    </row>
    <row r="123" spans="2:11">
      <c r="B123" s="7">
        <v>10574</v>
      </c>
      <c r="C123" s="8">
        <v>44896</v>
      </c>
      <c r="D123" s="9" t="s">
        <v>15</v>
      </c>
      <c r="E123" s="7" t="s">
        <v>10</v>
      </c>
      <c r="F123" s="7" t="s">
        <v>19</v>
      </c>
      <c r="G123" s="9" t="s">
        <v>24</v>
      </c>
      <c r="H123" s="9" t="s">
        <v>23</v>
      </c>
      <c r="I123" s="24">
        <v>4.99</v>
      </c>
      <c r="J123" s="10">
        <v>201</v>
      </c>
      <c r="K123" s="22">
        <f t="shared" si="1"/>
        <v>1002.99</v>
      </c>
    </row>
    <row r="124" spans="2:11">
      <c r="B124" s="7">
        <v>10575</v>
      </c>
      <c r="C124" s="8">
        <v>44897</v>
      </c>
      <c r="D124" s="9" t="s">
        <v>18</v>
      </c>
      <c r="E124" s="7" t="s">
        <v>10</v>
      </c>
      <c r="F124" s="7" t="s">
        <v>19</v>
      </c>
      <c r="G124" s="9" t="s">
        <v>24</v>
      </c>
      <c r="H124" s="9" t="s">
        <v>23</v>
      </c>
      <c r="I124" s="24">
        <v>12.99</v>
      </c>
      <c r="J124" s="10">
        <v>524</v>
      </c>
      <c r="K124" s="22">
        <f t="shared" si="1"/>
        <v>6806.76</v>
      </c>
    </row>
    <row r="125" spans="2:11">
      <c r="B125" s="7">
        <v>10576</v>
      </c>
      <c r="C125" s="8">
        <v>44897</v>
      </c>
      <c r="D125" s="9" t="s">
        <v>22</v>
      </c>
      <c r="E125" s="7" t="s">
        <v>10</v>
      </c>
      <c r="F125" s="7" t="s">
        <v>19</v>
      </c>
      <c r="G125" s="9" t="s">
        <v>24</v>
      </c>
      <c r="H125" s="9" t="s">
        <v>23</v>
      </c>
      <c r="I125" s="24">
        <v>9.9499999999999993</v>
      </c>
      <c r="J125" s="10">
        <v>202</v>
      </c>
      <c r="K125" s="22">
        <f t="shared" si="1"/>
        <v>2009.8999999999999</v>
      </c>
    </row>
    <row r="126" spans="2:11">
      <c r="B126" s="7">
        <v>10577</v>
      </c>
      <c r="C126" s="8">
        <v>44897</v>
      </c>
      <c r="D126" s="9" t="s">
        <v>9</v>
      </c>
      <c r="E126" s="7" t="s">
        <v>10</v>
      </c>
      <c r="F126" s="7" t="s">
        <v>19</v>
      </c>
      <c r="G126" s="9" t="s">
        <v>24</v>
      </c>
      <c r="H126" s="9" t="s">
        <v>23</v>
      </c>
      <c r="I126" s="24">
        <v>3.49</v>
      </c>
      <c r="J126" s="10">
        <v>631</v>
      </c>
      <c r="K126" s="22">
        <f t="shared" si="1"/>
        <v>2202.19</v>
      </c>
    </row>
    <row r="127" spans="2:11">
      <c r="B127" s="7">
        <v>10578</v>
      </c>
      <c r="C127" s="8">
        <v>44897</v>
      </c>
      <c r="D127" s="9" t="s">
        <v>13</v>
      </c>
      <c r="E127" s="7" t="s">
        <v>10</v>
      </c>
      <c r="F127" s="7" t="s">
        <v>19</v>
      </c>
      <c r="G127" s="9" t="s">
        <v>24</v>
      </c>
      <c r="H127" s="9" t="s">
        <v>23</v>
      </c>
      <c r="I127" s="24">
        <v>2.95</v>
      </c>
      <c r="J127" s="10">
        <v>678</v>
      </c>
      <c r="K127" s="22">
        <f t="shared" si="1"/>
        <v>2000.1000000000001</v>
      </c>
    </row>
    <row r="128" spans="2:11">
      <c r="B128" s="7">
        <v>10579</v>
      </c>
      <c r="C128" s="8">
        <v>44897</v>
      </c>
      <c r="D128" s="9" t="s">
        <v>15</v>
      </c>
      <c r="E128" s="7" t="s">
        <v>10</v>
      </c>
      <c r="F128" s="7" t="s">
        <v>19</v>
      </c>
      <c r="G128" s="9" t="s">
        <v>24</v>
      </c>
      <c r="H128" s="9" t="s">
        <v>23</v>
      </c>
      <c r="I128" s="24">
        <v>4.99</v>
      </c>
      <c r="J128" s="10">
        <v>201</v>
      </c>
      <c r="K128" s="22">
        <f t="shared" si="1"/>
        <v>1002.99</v>
      </c>
    </row>
    <row r="129" spans="2:11">
      <c r="B129" s="7">
        <v>10580</v>
      </c>
      <c r="C129" s="8">
        <v>44898</v>
      </c>
      <c r="D129" s="9" t="s">
        <v>18</v>
      </c>
      <c r="E129" s="7" t="s">
        <v>10</v>
      </c>
      <c r="F129" s="7" t="s">
        <v>19</v>
      </c>
      <c r="G129" s="9" t="s">
        <v>24</v>
      </c>
      <c r="H129" s="9" t="s">
        <v>23</v>
      </c>
      <c r="I129" s="24">
        <v>12.99</v>
      </c>
      <c r="J129" s="10">
        <v>524</v>
      </c>
      <c r="K129" s="22">
        <f t="shared" si="1"/>
        <v>6806.76</v>
      </c>
    </row>
    <row r="130" spans="2:11">
      <c r="B130" s="7">
        <v>10581</v>
      </c>
      <c r="C130" s="8">
        <v>44898</v>
      </c>
      <c r="D130" s="9" t="s">
        <v>22</v>
      </c>
      <c r="E130" s="7" t="s">
        <v>10</v>
      </c>
      <c r="F130" s="7" t="s">
        <v>19</v>
      </c>
      <c r="G130" s="9" t="s">
        <v>24</v>
      </c>
      <c r="H130" s="9" t="s">
        <v>23</v>
      </c>
      <c r="I130" s="24">
        <v>9.9499999999999993</v>
      </c>
      <c r="J130" s="10">
        <v>202</v>
      </c>
      <c r="K130" s="22">
        <f t="shared" si="1"/>
        <v>2009.8999999999999</v>
      </c>
    </row>
    <row r="131" spans="2:11">
      <c r="B131" s="7">
        <v>10582</v>
      </c>
      <c r="C131" s="8">
        <v>44898</v>
      </c>
      <c r="D131" s="9" t="s">
        <v>9</v>
      </c>
      <c r="E131" s="7" t="s">
        <v>10</v>
      </c>
      <c r="F131" s="7" t="s">
        <v>19</v>
      </c>
      <c r="G131" s="9" t="s">
        <v>29</v>
      </c>
      <c r="H131" s="9" t="s">
        <v>12</v>
      </c>
      <c r="I131" s="24">
        <v>3.49</v>
      </c>
      <c r="J131" s="10">
        <v>631</v>
      </c>
      <c r="K131" s="22">
        <f t="shared" si="1"/>
        <v>2202.19</v>
      </c>
    </row>
    <row r="132" spans="2:11">
      <c r="B132" s="7">
        <v>10583</v>
      </c>
      <c r="C132" s="8">
        <v>44898</v>
      </c>
      <c r="D132" s="9" t="s">
        <v>13</v>
      </c>
      <c r="E132" s="7" t="s">
        <v>10</v>
      </c>
      <c r="F132" s="7" t="s">
        <v>19</v>
      </c>
      <c r="G132" s="9" t="s">
        <v>29</v>
      </c>
      <c r="H132" s="9" t="s">
        <v>12</v>
      </c>
      <c r="I132" s="24">
        <v>2.95</v>
      </c>
      <c r="J132" s="10">
        <v>678</v>
      </c>
      <c r="K132" s="22">
        <f t="shared" ref="K132:K195" si="2">PRODUCT(I132:J132)</f>
        <v>2000.1000000000001</v>
      </c>
    </row>
    <row r="133" spans="2:11">
      <c r="B133" s="7">
        <v>10584</v>
      </c>
      <c r="C133" s="8">
        <v>44898</v>
      </c>
      <c r="D133" s="9" t="s">
        <v>15</v>
      </c>
      <c r="E133" s="7" t="s">
        <v>10</v>
      </c>
      <c r="F133" s="7" t="s">
        <v>19</v>
      </c>
      <c r="G133" s="9" t="s">
        <v>29</v>
      </c>
      <c r="H133" s="9" t="s">
        <v>12</v>
      </c>
      <c r="I133" s="24">
        <v>4.99</v>
      </c>
      <c r="J133" s="10">
        <v>201</v>
      </c>
      <c r="K133" s="22">
        <f t="shared" si="2"/>
        <v>1002.99</v>
      </c>
    </row>
    <row r="134" spans="2:11">
      <c r="B134" s="7">
        <v>10585</v>
      </c>
      <c r="C134" s="8">
        <v>44899</v>
      </c>
      <c r="D134" s="9" t="s">
        <v>18</v>
      </c>
      <c r="E134" s="7" t="s">
        <v>10</v>
      </c>
      <c r="F134" s="7" t="s">
        <v>19</v>
      </c>
      <c r="G134" s="9" t="s">
        <v>29</v>
      </c>
      <c r="H134" s="9" t="s">
        <v>12</v>
      </c>
      <c r="I134" s="24">
        <v>12.99</v>
      </c>
      <c r="J134" s="10">
        <v>539</v>
      </c>
      <c r="K134" s="22">
        <f t="shared" si="2"/>
        <v>7001.61</v>
      </c>
    </row>
    <row r="135" spans="2:11">
      <c r="B135" s="7">
        <v>10586</v>
      </c>
      <c r="C135" s="8">
        <v>44899</v>
      </c>
      <c r="D135" s="9" t="s">
        <v>22</v>
      </c>
      <c r="E135" s="7" t="s">
        <v>10</v>
      </c>
      <c r="F135" s="7" t="s">
        <v>19</v>
      </c>
      <c r="G135" s="9" t="s">
        <v>29</v>
      </c>
      <c r="H135" s="9" t="s">
        <v>12</v>
      </c>
      <c r="I135" s="24">
        <v>9.9499999999999993</v>
      </c>
      <c r="J135" s="10">
        <v>202</v>
      </c>
      <c r="K135" s="22">
        <f t="shared" si="2"/>
        <v>2009.8999999999999</v>
      </c>
    </row>
    <row r="136" spans="2:11">
      <c r="B136" s="7">
        <v>10590</v>
      </c>
      <c r="C136" s="8">
        <v>44900</v>
      </c>
      <c r="D136" s="9" t="s">
        <v>18</v>
      </c>
      <c r="E136" s="7" t="s">
        <v>10</v>
      </c>
      <c r="F136" s="7" t="s">
        <v>19</v>
      </c>
      <c r="G136" s="9" t="s">
        <v>29</v>
      </c>
      <c r="H136" s="9" t="s">
        <v>12</v>
      </c>
      <c r="I136" s="24">
        <v>12.99</v>
      </c>
      <c r="J136" s="10">
        <v>555</v>
      </c>
      <c r="K136" s="22">
        <f t="shared" si="2"/>
        <v>7209.45</v>
      </c>
    </row>
    <row r="137" spans="2:11">
      <c r="B137" s="7">
        <v>10591</v>
      </c>
      <c r="C137" s="8">
        <v>44900</v>
      </c>
      <c r="D137" s="9" t="s">
        <v>22</v>
      </c>
      <c r="E137" s="7" t="s">
        <v>10</v>
      </c>
      <c r="F137" s="7" t="s">
        <v>19</v>
      </c>
      <c r="G137" s="9" t="s">
        <v>29</v>
      </c>
      <c r="H137" s="9" t="s">
        <v>12</v>
      </c>
      <c r="I137" s="24">
        <v>9.9499999999999993</v>
      </c>
      <c r="J137" s="10">
        <v>202</v>
      </c>
      <c r="K137" s="22">
        <f t="shared" si="2"/>
        <v>2009.8999999999999</v>
      </c>
    </row>
    <row r="138" spans="2:11">
      <c r="B138" s="7">
        <v>10592</v>
      </c>
      <c r="C138" s="8">
        <v>44900</v>
      </c>
      <c r="D138" s="9" t="s">
        <v>9</v>
      </c>
      <c r="E138" s="7" t="s">
        <v>10</v>
      </c>
      <c r="F138" s="7" t="s">
        <v>19</v>
      </c>
      <c r="G138" s="9" t="s">
        <v>29</v>
      </c>
      <c r="H138" s="9" t="s">
        <v>12</v>
      </c>
      <c r="I138" s="24">
        <v>3.49</v>
      </c>
      <c r="J138" s="10">
        <v>574</v>
      </c>
      <c r="K138" s="22">
        <f t="shared" si="2"/>
        <v>2003.2600000000002</v>
      </c>
    </row>
    <row r="139" spans="2:11">
      <c r="B139" s="7">
        <v>10593</v>
      </c>
      <c r="C139" s="8">
        <v>44900</v>
      </c>
      <c r="D139" s="9" t="s">
        <v>13</v>
      </c>
      <c r="E139" s="7" t="s">
        <v>10</v>
      </c>
      <c r="F139" s="7" t="s">
        <v>19</v>
      </c>
      <c r="G139" s="9" t="s">
        <v>29</v>
      </c>
      <c r="H139" s="9" t="s">
        <v>12</v>
      </c>
      <c r="I139" s="24">
        <v>2.95</v>
      </c>
      <c r="J139" s="10">
        <v>678</v>
      </c>
      <c r="K139" s="22">
        <f t="shared" si="2"/>
        <v>2000.1000000000001</v>
      </c>
    </row>
    <row r="140" spans="2:11">
      <c r="B140" s="7">
        <v>10594</v>
      </c>
      <c r="C140" s="8">
        <v>44900</v>
      </c>
      <c r="D140" s="9" t="s">
        <v>15</v>
      </c>
      <c r="E140" s="7" t="s">
        <v>10</v>
      </c>
      <c r="F140" s="7" t="s">
        <v>19</v>
      </c>
      <c r="G140" s="9" t="s">
        <v>29</v>
      </c>
      <c r="H140" s="9" t="s">
        <v>12</v>
      </c>
      <c r="I140" s="24">
        <v>4.99</v>
      </c>
      <c r="J140" s="10">
        <v>201</v>
      </c>
      <c r="K140" s="22">
        <f t="shared" si="2"/>
        <v>1002.99</v>
      </c>
    </row>
    <row r="141" spans="2:11">
      <c r="B141" s="7">
        <v>10595</v>
      </c>
      <c r="C141" s="8">
        <v>44901</v>
      </c>
      <c r="D141" s="9" t="s">
        <v>18</v>
      </c>
      <c r="E141" s="7" t="s">
        <v>10</v>
      </c>
      <c r="F141" s="7" t="s">
        <v>19</v>
      </c>
      <c r="G141" s="9" t="s">
        <v>29</v>
      </c>
      <c r="H141" s="9" t="s">
        <v>12</v>
      </c>
      <c r="I141" s="24">
        <v>12.99</v>
      </c>
      <c r="J141" s="10">
        <v>539</v>
      </c>
      <c r="K141" s="22">
        <f t="shared" si="2"/>
        <v>7001.61</v>
      </c>
    </row>
    <row r="142" spans="2:11">
      <c r="B142" s="7">
        <v>10596</v>
      </c>
      <c r="C142" s="8">
        <v>44901</v>
      </c>
      <c r="D142" s="9" t="s">
        <v>22</v>
      </c>
      <c r="E142" s="7" t="s">
        <v>10</v>
      </c>
      <c r="F142" s="7" t="s">
        <v>19</v>
      </c>
      <c r="G142" s="9" t="s">
        <v>29</v>
      </c>
      <c r="H142" s="9" t="s">
        <v>12</v>
      </c>
      <c r="I142" s="24">
        <v>9.9499999999999993</v>
      </c>
      <c r="J142" s="10">
        <v>202</v>
      </c>
      <c r="K142" s="22">
        <f t="shared" si="2"/>
        <v>2009.8999999999999</v>
      </c>
    </row>
    <row r="143" spans="2:11">
      <c r="B143" s="7">
        <v>10597</v>
      </c>
      <c r="C143" s="8">
        <v>44901</v>
      </c>
      <c r="D143" s="9" t="s">
        <v>9</v>
      </c>
      <c r="E143" s="7" t="s">
        <v>10</v>
      </c>
      <c r="F143" s="7" t="s">
        <v>19</v>
      </c>
      <c r="G143" s="9" t="s">
        <v>29</v>
      </c>
      <c r="H143" s="9" t="s">
        <v>12</v>
      </c>
      <c r="I143" s="24">
        <v>3.49</v>
      </c>
      <c r="J143" s="10">
        <v>574</v>
      </c>
      <c r="K143" s="22">
        <f t="shared" si="2"/>
        <v>2003.2600000000002</v>
      </c>
    </row>
    <row r="144" spans="2:11">
      <c r="B144" s="7">
        <v>10598</v>
      </c>
      <c r="C144" s="8">
        <v>44901</v>
      </c>
      <c r="D144" s="9" t="s">
        <v>13</v>
      </c>
      <c r="E144" s="7" t="s">
        <v>10</v>
      </c>
      <c r="F144" s="7" t="s">
        <v>19</v>
      </c>
      <c r="G144" s="9" t="s">
        <v>29</v>
      </c>
      <c r="H144" s="9" t="s">
        <v>12</v>
      </c>
      <c r="I144" s="24">
        <v>2.95</v>
      </c>
      <c r="J144" s="10">
        <v>678</v>
      </c>
      <c r="K144" s="22">
        <f t="shared" si="2"/>
        <v>2000.1000000000001</v>
      </c>
    </row>
    <row r="145" spans="2:11">
      <c r="B145" s="7">
        <v>10599</v>
      </c>
      <c r="C145" s="8">
        <v>44901</v>
      </c>
      <c r="D145" s="9" t="s">
        <v>15</v>
      </c>
      <c r="E145" s="7" t="s">
        <v>10</v>
      </c>
      <c r="F145" s="7" t="s">
        <v>19</v>
      </c>
      <c r="G145" s="9" t="s">
        <v>29</v>
      </c>
      <c r="H145" s="9" t="s">
        <v>12</v>
      </c>
      <c r="I145" s="24">
        <v>4.99</v>
      </c>
      <c r="J145" s="10">
        <v>201</v>
      </c>
      <c r="K145" s="22">
        <f t="shared" si="2"/>
        <v>1002.99</v>
      </c>
    </row>
    <row r="146" spans="2:11">
      <c r="B146" s="7">
        <v>10600</v>
      </c>
      <c r="C146" s="8">
        <v>44902</v>
      </c>
      <c r="D146" s="9" t="s">
        <v>18</v>
      </c>
      <c r="E146" s="7" t="s">
        <v>10</v>
      </c>
      <c r="F146" s="7" t="s">
        <v>19</v>
      </c>
      <c r="G146" s="9" t="s">
        <v>29</v>
      </c>
      <c r="H146" s="9" t="s">
        <v>12</v>
      </c>
      <c r="I146" s="24">
        <v>12.99</v>
      </c>
      <c r="J146" s="10">
        <v>524</v>
      </c>
      <c r="K146" s="22">
        <f t="shared" si="2"/>
        <v>6806.76</v>
      </c>
    </row>
    <row r="147" spans="2:11">
      <c r="B147" s="7">
        <v>10601</v>
      </c>
      <c r="C147" s="8">
        <v>44902</v>
      </c>
      <c r="D147" s="9" t="s">
        <v>22</v>
      </c>
      <c r="E147" s="7" t="s">
        <v>10</v>
      </c>
      <c r="F147" s="7" t="s">
        <v>19</v>
      </c>
      <c r="G147" s="9" t="s">
        <v>29</v>
      </c>
      <c r="H147" s="9" t="s">
        <v>12</v>
      </c>
      <c r="I147" s="24">
        <v>9.9499999999999993</v>
      </c>
      <c r="J147" s="10">
        <v>202</v>
      </c>
      <c r="K147" s="22">
        <f t="shared" si="2"/>
        <v>2009.8999999999999</v>
      </c>
    </row>
    <row r="148" spans="2:11">
      <c r="B148" s="7">
        <v>10602</v>
      </c>
      <c r="C148" s="8">
        <v>44902</v>
      </c>
      <c r="D148" s="9" t="s">
        <v>9</v>
      </c>
      <c r="E148" s="7" t="s">
        <v>10</v>
      </c>
      <c r="F148" s="7" t="s">
        <v>28</v>
      </c>
      <c r="G148" s="9" t="s">
        <v>29</v>
      </c>
      <c r="H148" s="9" t="s">
        <v>12</v>
      </c>
      <c r="I148" s="24">
        <v>3.49</v>
      </c>
      <c r="J148" s="10">
        <v>631</v>
      </c>
      <c r="K148" s="22">
        <f t="shared" si="2"/>
        <v>2202.19</v>
      </c>
    </row>
    <row r="149" spans="2:11">
      <c r="B149" s="7">
        <v>10603</v>
      </c>
      <c r="C149" s="8">
        <v>44902</v>
      </c>
      <c r="D149" s="9" t="s">
        <v>13</v>
      </c>
      <c r="E149" s="7" t="s">
        <v>10</v>
      </c>
      <c r="F149" s="7" t="s">
        <v>28</v>
      </c>
      <c r="G149" s="9" t="s">
        <v>29</v>
      </c>
      <c r="H149" s="9" t="s">
        <v>12</v>
      </c>
      <c r="I149" s="24">
        <v>2.95</v>
      </c>
      <c r="J149" s="10">
        <v>678</v>
      </c>
      <c r="K149" s="22">
        <f t="shared" si="2"/>
        <v>2000.1000000000001</v>
      </c>
    </row>
    <row r="150" spans="2:11">
      <c r="B150" s="7">
        <v>10604</v>
      </c>
      <c r="C150" s="8">
        <v>44902</v>
      </c>
      <c r="D150" s="9" t="s">
        <v>15</v>
      </c>
      <c r="E150" s="7" t="s">
        <v>10</v>
      </c>
      <c r="F150" s="7" t="s">
        <v>28</v>
      </c>
      <c r="G150" s="9" t="s">
        <v>29</v>
      </c>
      <c r="H150" s="9" t="s">
        <v>12</v>
      </c>
      <c r="I150" s="24">
        <v>4.99</v>
      </c>
      <c r="J150" s="10">
        <v>201</v>
      </c>
      <c r="K150" s="22">
        <f t="shared" si="2"/>
        <v>1002.99</v>
      </c>
    </row>
    <row r="151" spans="2:11">
      <c r="B151" s="7">
        <v>10605</v>
      </c>
      <c r="C151" s="8">
        <v>44903</v>
      </c>
      <c r="D151" s="9" t="s">
        <v>18</v>
      </c>
      <c r="E151" s="7" t="s">
        <v>10</v>
      </c>
      <c r="F151" s="7" t="s">
        <v>28</v>
      </c>
      <c r="G151" s="9" t="s">
        <v>29</v>
      </c>
      <c r="H151" s="9" t="s">
        <v>12</v>
      </c>
      <c r="I151" s="24">
        <v>12.99</v>
      </c>
      <c r="J151" s="10">
        <v>539</v>
      </c>
      <c r="K151" s="22">
        <f t="shared" si="2"/>
        <v>7001.61</v>
      </c>
    </row>
    <row r="152" spans="2:11">
      <c r="B152" s="7">
        <v>10606</v>
      </c>
      <c r="C152" s="8">
        <v>44903</v>
      </c>
      <c r="D152" s="9" t="s">
        <v>22</v>
      </c>
      <c r="E152" s="7" t="s">
        <v>10</v>
      </c>
      <c r="F152" s="7" t="s">
        <v>28</v>
      </c>
      <c r="G152" s="9" t="s">
        <v>29</v>
      </c>
      <c r="H152" s="9" t="s">
        <v>12</v>
      </c>
      <c r="I152" s="24">
        <v>9.9499999999999993</v>
      </c>
      <c r="J152" s="10">
        <v>202</v>
      </c>
      <c r="K152" s="22">
        <f t="shared" si="2"/>
        <v>2009.8999999999999</v>
      </c>
    </row>
    <row r="153" spans="2:11">
      <c r="B153" s="7">
        <v>10607</v>
      </c>
      <c r="C153" s="8">
        <v>44903</v>
      </c>
      <c r="D153" s="9" t="s">
        <v>9</v>
      </c>
      <c r="E153" s="7" t="s">
        <v>10</v>
      </c>
      <c r="F153" s="7" t="s">
        <v>28</v>
      </c>
      <c r="G153" s="9" t="s">
        <v>29</v>
      </c>
      <c r="H153" s="9" t="s">
        <v>12</v>
      </c>
      <c r="I153" s="24">
        <v>3.49</v>
      </c>
      <c r="J153" s="10">
        <v>631</v>
      </c>
      <c r="K153" s="22">
        <f t="shared" si="2"/>
        <v>2202.19</v>
      </c>
    </row>
    <row r="154" spans="2:11">
      <c r="B154" s="7">
        <v>10608</v>
      </c>
      <c r="C154" s="8">
        <v>44903</v>
      </c>
      <c r="D154" s="9" t="s">
        <v>13</v>
      </c>
      <c r="E154" s="7" t="s">
        <v>10</v>
      </c>
      <c r="F154" s="7" t="s">
        <v>11</v>
      </c>
      <c r="G154" s="9" t="s">
        <v>29</v>
      </c>
      <c r="H154" s="9" t="s">
        <v>12</v>
      </c>
      <c r="I154" s="24">
        <v>2.95</v>
      </c>
      <c r="J154" s="10">
        <v>678</v>
      </c>
      <c r="K154" s="22">
        <f t="shared" si="2"/>
        <v>2000.1000000000001</v>
      </c>
    </row>
    <row r="155" spans="2:11">
      <c r="B155" s="7">
        <v>10609</v>
      </c>
      <c r="C155" s="8">
        <v>44903</v>
      </c>
      <c r="D155" s="9" t="s">
        <v>15</v>
      </c>
      <c r="E155" s="7" t="s">
        <v>10</v>
      </c>
      <c r="F155" s="7" t="s">
        <v>11</v>
      </c>
      <c r="G155" s="9" t="s">
        <v>29</v>
      </c>
      <c r="H155" s="9" t="s">
        <v>12</v>
      </c>
      <c r="I155" s="24">
        <v>4.99</v>
      </c>
      <c r="J155" s="10">
        <v>201</v>
      </c>
      <c r="K155" s="22">
        <f t="shared" si="2"/>
        <v>1002.99</v>
      </c>
    </row>
    <row r="156" spans="2:11">
      <c r="B156" s="7">
        <v>10610</v>
      </c>
      <c r="C156" s="8">
        <v>44904</v>
      </c>
      <c r="D156" s="9" t="s">
        <v>18</v>
      </c>
      <c r="E156" s="7" t="s">
        <v>10</v>
      </c>
      <c r="F156" s="7" t="s">
        <v>11</v>
      </c>
      <c r="G156" s="9" t="s">
        <v>29</v>
      </c>
      <c r="H156" s="9" t="s">
        <v>12</v>
      </c>
      <c r="I156" s="24">
        <v>12.99</v>
      </c>
      <c r="J156" s="10">
        <v>570</v>
      </c>
      <c r="K156" s="22">
        <f t="shared" si="2"/>
        <v>7404.3</v>
      </c>
    </row>
    <row r="157" spans="2:11">
      <c r="B157" s="7">
        <v>10611</v>
      </c>
      <c r="C157" s="8">
        <v>44904</v>
      </c>
      <c r="D157" s="9" t="s">
        <v>22</v>
      </c>
      <c r="E157" s="7" t="s">
        <v>10</v>
      </c>
      <c r="F157" s="7" t="s">
        <v>11</v>
      </c>
      <c r="G157" s="9" t="s">
        <v>29</v>
      </c>
      <c r="H157" s="9" t="s">
        <v>12</v>
      </c>
      <c r="I157" s="24">
        <v>9.9499999999999993</v>
      </c>
      <c r="J157" s="10">
        <v>202</v>
      </c>
      <c r="K157" s="22">
        <f t="shared" si="2"/>
        <v>2009.8999999999999</v>
      </c>
    </row>
    <row r="158" spans="2:11">
      <c r="B158" s="7">
        <v>10612</v>
      </c>
      <c r="C158" s="8">
        <v>44904</v>
      </c>
      <c r="D158" s="9" t="s">
        <v>9</v>
      </c>
      <c r="E158" s="7" t="s">
        <v>10</v>
      </c>
      <c r="F158" s="7" t="s">
        <v>11</v>
      </c>
      <c r="G158" s="9" t="s">
        <v>29</v>
      </c>
      <c r="H158" s="9" t="s">
        <v>12</v>
      </c>
      <c r="I158" s="24">
        <v>3.49</v>
      </c>
      <c r="J158" s="10">
        <v>631</v>
      </c>
      <c r="K158" s="22">
        <f t="shared" si="2"/>
        <v>2202.19</v>
      </c>
    </row>
    <row r="159" spans="2:11">
      <c r="B159" s="7">
        <v>10613</v>
      </c>
      <c r="C159" s="8">
        <v>44904</v>
      </c>
      <c r="D159" s="9" t="s">
        <v>13</v>
      </c>
      <c r="E159" s="7" t="s">
        <v>10</v>
      </c>
      <c r="F159" s="7" t="s">
        <v>11</v>
      </c>
      <c r="G159" s="9" t="s">
        <v>29</v>
      </c>
      <c r="H159" s="9" t="s">
        <v>12</v>
      </c>
      <c r="I159" s="24">
        <v>2.95</v>
      </c>
      <c r="J159" s="10">
        <v>678</v>
      </c>
      <c r="K159" s="22">
        <f t="shared" si="2"/>
        <v>2000.1000000000001</v>
      </c>
    </row>
    <row r="160" spans="2:11">
      <c r="B160" s="7">
        <v>10614</v>
      </c>
      <c r="C160" s="8">
        <v>44904</v>
      </c>
      <c r="D160" s="9" t="s">
        <v>15</v>
      </c>
      <c r="E160" s="7" t="s">
        <v>10</v>
      </c>
      <c r="F160" s="7" t="s">
        <v>11</v>
      </c>
      <c r="G160" s="9" t="s">
        <v>29</v>
      </c>
      <c r="H160" s="9" t="s">
        <v>12</v>
      </c>
      <c r="I160" s="24">
        <v>4.99</v>
      </c>
      <c r="J160" s="10">
        <v>201</v>
      </c>
      <c r="K160" s="22">
        <f t="shared" si="2"/>
        <v>1002.99</v>
      </c>
    </row>
    <row r="161" spans="2:11">
      <c r="B161" s="7">
        <v>10615</v>
      </c>
      <c r="C161" s="8">
        <v>44905</v>
      </c>
      <c r="D161" s="9" t="s">
        <v>18</v>
      </c>
      <c r="E161" s="7" t="s">
        <v>10</v>
      </c>
      <c r="F161" s="7" t="s">
        <v>11</v>
      </c>
      <c r="G161" s="9" t="s">
        <v>29</v>
      </c>
      <c r="H161" s="9" t="s">
        <v>12</v>
      </c>
      <c r="I161" s="24">
        <v>12.99</v>
      </c>
      <c r="J161" s="10">
        <v>570</v>
      </c>
      <c r="K161" s="22">
        <f t="shared" si="2"/>
        <v>7404.3</v>
      </c>
    </row>
    <row r="162" spans="2:11">
      <c r="B162" s="7">
        <v>10616</v>
      </c>
      <c r="C162" s="8">
        <v>44905</v>
      </c>
      <c r="D162" s="9" t="s">
        <v>22</v>
      </c>
      <c r="E162" s="7" t="s">
        <v>10</v>
      </c>
      <c r="F162" s="7" t="s">
        <v>11</v>
      </c>
      <c r="G162" s="9" t="s">
        <v>29</v>
      </c>
      <c r="H162" s="9" t="s">
        <v>12</v>
      </c>
      <c r="I162" s="24">
        <v>9.9499999999999993</v>
      </c>
      <c r="J162" s="10">
        <v>202</v>
      </c>
      <c r="K162" s="22">
        <f t="shared" si="2"/>
        <v>2009.8999999999999</v>
      </c>
    </row>
    <row r="163" spans="2:11">
      <c r="B163" s="7">
        <v>10617</v>
      </c>
      <c r="C163" s="8">
        <v>44905</v>
      </c>
      <c r="D163" s="9" t="s">
        <v>9</v>
      </c>
      <c r="E163" s="7" t="s">
        <v>10</v>
      </c>
      <c r="F163" s="7" t="s">
        <v>11</v>
      </c>
      <c r="G163" s="9" t="s">
        <v>29</v>
      </c>
      <c r="H163" s="9" t="s">
        <v>12</v>
      </c>
      <c r="I163" s="24">
        <v>3.49</v>
      </c>
      <c r="J163" s="10">
        <v>631</v>
      </c>
      <c r="K163" s="22">
        <f t="shared" si="2"/>
        <v>2202.19</v>
      </c>
    </row>
    <row r="164" spans="2:11">
      <c r="B164" s="7">
        <v>10618</v>
      </c>
      <c r="C164" s="8">
        <v>44905</v>
      </c>
      <c r="D164" s="9" t="s">
        <v>13</v>
      </c>
      <c r="E164" s="7" t="s">
        <v>10</v>
      </c>
      <c r="F164" s="7" t="s">
        <v>11</v>
      </c>
      <c r="G164" s="9" t="s">
        <v>29</v>
      </c>
      <c r="H164" s="9" t="s">
        <v>12</v>
      </c>
      <c r="I164" s="24">
        <v>2.95</v>
      </c>
      <c r="J164" s="10">
        <v>678</v>
      </c>
      <c r="K164" s="22">
        <f t="shared" si="2"/>
        <v>2000.1000000000001</v>
      </c>
    </row>
    <row r="165" spans="2:11">
      <c r="B165" s="7">
        <v>10619</v>
      </c>
      <c r="C165" s="8">
        <v>44905</v>
      </c>
      <c r="D165" s="9" t="s">
        <v>15</v>
      </c>
      <c r="E165" s="7" t="s">
        <v>10</v>
      </c>
      <c r="F165" s="7" t="s">
        <v>11</v>
      </c>
      <c r="G165" s="9" t="s">
        <v>29</v>
      </c>
      <c r="H165" s="9" t="s">
        <v>12</v>
      </c>
      <c r="I165" s="24">
        <v>4.99</v>
      </c>
      <c r="J165" s="10">
        <v>201</v>
      </c>
      <c r="K165" s="22">
        <f t="shared" si="2"/>
        <v>1002.99</v>
      </c>
    </row>
    <row r="166" spans="2:11">
      <c r="B166" s="7">
        <v>10620</v>
      </c>
      <c r="C166" s="8">
        <v>44906</v>
      </c>
      <c r="D166" s="9" t="s">
        <v>18</v>
      </c>
      <c r="E166" s="7" t="s">
        <v>10</v>
      </c>
      <c r="F166" s="7" t="s">
        <v>11</v>
      </c>
      <c r="G166" s="9" t="s">
        <v>29</v>
      </c>
      <c r="H166" s="9" t="s">
        <v>12</v>
      </c>
      <c r="I166" s="24">
        <v>12.99</v>
      </c>
      <c r="J166" s="10">
        <v>586</v>
      </c>
      <c r="K166" s="22">
        <f t="shared" si="2"/>
        <v>7612.14</v>
      </c>
    </row>
    <row r="167" spans="2:11">
      <c r="B167" s="7">
        <v>10621</v>
      </c>
      <c r="C167" s="8">
        <v>44906</v>
      </c>
      <c r="D167" s="9" t="s">
        <v>22</v>
      </c>
      <c r="E167" s="7" t="s">
        <v>10</v>
      </c>
      <c r="F167" s="7" t="s">
        <v>11</v>
      </c>
      <c r="G167" s="9" t="s">
        <v>29</v>
      </c>
      <c r="H167" s="9" t="s">
        <v>12</v>
      </c>
      <c r="I167" s="24">
        <v>9.9499999999999993</v>
      </c>
      <c r="J167" s="10">
        <v>202</v>
      </c>
      <c r="K167" s="22">
        <f t="shared" si="2"/>
        <v>2009.8999999999999</v>
      </c>
    </row>
    <row r="168" spans="2:11">
      <c r="B168" s="7">
        <v>10622</v>
      </c>
      <c r="C168" s="8">
        <v>44906</v>
      </c>
      <c r="D168" s="9" t="s">
        <v>9</v>
      </c>
      <c r="E168" s="7" t="s">
        <v>10</v>
      </c>
      <c r="F168" s="7" t="s">
        <v>11</v>
      </c>
      <c r="G168" s="9" t="s">
        <v>29</v>
      </c>
      <c r="H168" s="9" t="s">
        <v>12</v>
      </c>
      <c r="I168" s="24">
        <v>3.49</v>
      </c>
      <c r="J168" s="10">
        <v>631</v>
      </c>
      <c r="K168" s="22">
        <f t="shared" si="2"/>
        <v>2202.19</v>
      </c>
    </row>
    <row r="169" spans="2:11">
      <c r="B169" s="7">
        <v>10623</v>
      </c>
      <c r="C169" s="8">
        <v>44906</v>
      </c>
      <c r="D169" s="9" t="s">
        <v>13</v>
      </c>
      <c r="E169" s="7" t="s">
        <v>10</v>
      </c>
      <c r="F169" s="7" t="s">
        <v>11</v>
      </c>
      <c r="G169" s="9" t="s">
        <v>29</v>
      </c>
      <c r="H169" s="9" t="s">
        <v>12</v>
      </c>
      <c r="I169" s="24">
        <v>2.95</v>
      </c>
      <c r="J169" s="10">
        <v>746</v>
      </c>
      <c r="K169" s="22">
        <f t="shared" si="2"/>
        <v>2200.7000000000003</v>
      </c>
    </row>
    <row r="170" spans="2:11">
      <c r="B170" s="7">
        <v>10624</v>
      </c>
      <c r="C170" s="8">
        <v>44906</v>
      </c>
      <c r="D170" s="9" t="s">
        <v>15</v>
      </c>
      <c r="E170" s="7" t="s">
        <v>10</v>
      </c>
      <c r="F170" s="7" t="s">
        <v>11</v>
      </c>
      <c r="G170" s="9" t="s">
        <v>29</v>
      </c>
      <c r="H170" s="9" t="s">
        <v>12</v>
      </c>
      <c r="I170" s="24">
        <v>4.99</v>
      </c>
      <c r="J170" s="10">
        <v>201</v>
      </c>
      <c r="K170" s="22">
        <f t="shared" si="2"/>
        <v>1002.99</v>
      </c>
    </row>
    <row r="171" spans="2:11">
      <c r="B171" s="7">
        <v>10625</v>
      </c>
      <c r="C171" s="8">
        <v>44907</v>
      </c>
      <c r="D171" s="9" t="s">
        <v>18</v>
      </c>
      <c r="E171" s="7" t="s">
        <v>10</v>
      </c>
      <c r="F171" s="7" t="s">
        <v>11</v>
      </c>
      <c r="G171" s="9" t="s">
        <v>29</v>
      </c>
      <c r="H171" s="9" t="s">
        <v>12</v>
      </c>
      <c r="I171" s="24">
        <v>12.99</v>
      </c>
      <c r="J171" s="10">
        <v>570</v>
      </c>
      <c r="K171" s="22">
        <f t="shared" si="2"/>
        <v>7404.3</v>
      </c>
    </row>
    <row r="172" spans="2:11">
      <c r="B172" s="7">
        <v>10626</v>
      </c>
      <c r="C172" s="8">
        <v>44907</v>
      </c>
      <c r="D172" s="9" t="s">
        <v>22</v>
      </c>
      <c r="E172" s="7" t="s">
        <v>10</v>
      </c>
      <c r="F172" s="7" t="s">
        <v>11</v>
      </c>
      <c r="G172" s="9" t="s">
        <v>29</v>
      </c>
      <c r="H172" s="9" t="s">
        <v>12</v>
      </c>
      <c r="I172" s="24">
        <v>9.9499999999999993</v>
      </c>
      <c r="J172" s="10">
        <v>202</v>
      </c>
      <c r="K172" s="22">
        <f t="shared" si="2"/>
        <v>2009.8999999999999</v>
      </c>
    </row>
    <row r="173" spans="2:11">
      <c r="B173" s="7">
        <v>10627</v>
      </c>
      <c r="C173" s="8">
        <v>44907</v>
      </c>
      <c r="D173" s="9" t="s">
        <v>9</v>
      </c>
      <c r="E173" s="7" t="s">
        <v>10</v>
      </c>
      <c r="F173" s="7" t="s">
        <v>11</v>
      </c>
      <c r="G173" s="9" t="s">
        <v>29</v>
      </c>
      <c r="H173" s="9" t="s">
        <v>12</v>
      </c>
      <c r="I173" s="24">
        <v>3.49</v>
      </c>
      <c r="J173" s="10">
        <v>631</v>
      </c>
      <c r="K173" s="22">
        <f t="shared" si="2"/>
        <v>2202.19</v>
      </c>
    </row>
    <row r="174" spans="2:11">
      <c r="B174" s="7">
        <v>10628</v>
      </c>
      <c r="C174" s="8">
        <v>44907</v>
      </c>
      <c r="D174" s="9" t="s">
        <v>13</v>
      </c>
      <c r="E174" s="7" t="s">
        <v>10</v>
      </c>
      <c r="F174" s="7" t="s">
        <v>11</v>
      </c>
      <c r="G174" s="9" t="s">
        <v>26</v>
      </c>
      <c r="H174" s="9" t="s">
        <v>17</v>
      </c>
      <c r="I174" s="24">
        <v>2.95</v>
      </c>
      <c r="J174" s="10">
        <v>678</v>
      </c>
      <c r="K174" s="22">
        <f t="shared" si="2"/>
        <v>2000.1000000000001</v>
      </c>
    </row>
    <row r="175" spans="2:11">
      <c r="B175" s="7">
        <v>10629</v>
      </c>
      <c r="C175" s="8">
        <v>44907</v>
      </c>
      <c r="D175" s="9" t="s">
        <v>15</v>
      </c>
      <c r="E175" s="7" t="s">
        <v>10</v>
      </c>
      <c r="F175" s="7" t="s">
        <v>11</v>
      </c>
      <c r="G175" s="9" t="s">
        <v>26</v>
      </c>
      <c r="H175" s="9" t="s">
        <v>17</v>
      </c>
      <c r="I175" s="24">
        <v>4.99</v>
      </c>
      <c r="J175" s="10">
        <v>201</v>
      </c>
      <c r="K175" s="22">
        <f t="shared" si="2"/>
        <v>1002.99</v>
      </c>
    </row>
    <row r="176" spans="2:11">
      <c r="B176" s="7">
        <v>10630</v>
      </c>
      <c r="C176" s="8">
        <v>44908</v>
      </c>
      <c r="D176" s="9" t="s">
        <v>18</v>
      </c>
      <c r="E176" s="7" t="s">
        <v>10</v>
      </c>
      <c r="F176" s="7" t="s">
        <v>28</v>
      </c>
      <c r="G176" s="9" t="s">
        <v>26</v>
      </c>
      <c r="H176" s="9" t="s">
        <v>17</v>
      </c>
      <c r="I176" s="24">
        <v>12.99</v>
      </c>
      <c r="J176" s="10">
        <v>570</v>
      </c>
      <c r="K176" s="22">
        <f t="shared" si="2"/>
        <v>7404.3</v>
      </c>
    </row>
    <row r="177" spans="2:11">
      <c r="B177" s="7">
        <v>10631</v>
      </c>
      <c r="C177" s="8">
        <v>44908</v>
      </c>
      <c r="D177" s="9" t="s">
        <v>22</v>
      </c>
      <c r="E177" s="7" t="s">
        <v>10</v>
      </c>
      <c r="F177" s="7" t="s">
        <v>11</v>
      </c>
      <c r="G177" s="9" t="s">
        <v>26</v>
      </c>
      <c r="H177" s="9" t="s">
        <v>17</v>
      </c>
      <c r="I177" s="24">
        <v>9.9499999999999993</v>
      </c>
      <c r="J177" s="10">
        <v>202</v>
      </c>
      <c r="K177" s="22">
        <f t="shared" si="2"/>
        <v>2009.8999999999999</v>
      </c>
    </row>
    <row r="178" spans="2:11">
      <c r="B178" s="7">
        <v>10632</v>
      </c>
      <c r="C178" s="8">
        <v>44908</v>
      </c>
      <c r="D178" s="9" t="s">
        <v>9</v>
      </c>
      <c r="E178" s="7" t="s">
        <v>10</v>
      </c>
      <c r="F178" s="7" t="s">
        <v>11</v>
      </c>
      <c r="G178" s="9" t="s">
        <v>26</v>
      </c>
      <c r="H178" s="9" t="s">
        <v>17</v>
      </c>
      <c r="I178" s="24">
        <v>3.49</v>
      </c>
      <c r="J178" s="10">
        <v>631</v>
      </c>
      <c r="K178" s="22">
        <f t="shared" si="2"/>
        <v>2202.19</v>
      </c>
    </row>
    <row r="179" spans="2:11">
      <c r="B179" s="7">
        <v>10633</v>
      </c>
      <c r="C179" s="8">
        <v>44908</v>
      </c>
      <c r="D179" s="9" t="s">
        <v>13</v>
      </c>
      <c r="E179" s="7" t="s">
        <v>10</v>
      </c>
      <c r="F179" s="7" t="s">
        <v>11</v>
      </c>
      <c r="G179" s="9" t="s">
        <v>26</v>
      </c>
      <c r="H179" s="9" t="s">
        <v>17</v>
      </c>
      <c r="I179" s="24">
        <v>2.95</v>
      </c>
      <c r="J179" s="10">
        <v>678</v>
      </c>
      <c r="K179" s="22">
        <f t="shared" si="2"/>
        <v>2000.1000000000001</v>
      </c>
    </row>
    <row r="180" spans="2:11">
      <c r="B180" s="7">
        <v>10634</v>
      </c>
      <c r="C180" s="8">
        <v>44908</v>
      </c>
      <c r="D180" s="9" t="s">
        <v>15</v>
      </c>
      <c r="E180" s="7" t="s">
        <v>10</v>
      </c>
      <c r="F180" s="7" t="s">
        <v>11</v>
      </c>
      <c r="G180" s="9" t="s">
        <v>26</v>
      </c>
      <c r="H180" s="9" t="s">
        <v>17</v>
      </c>
      <c r="I180" s="24">
        <v>4.99</v>
      </c>
      <c r="J180" s="10">
        <v>201</v>
      </c>
      <c r="K180" s="22">
        <f t="shared" si="2"/>
        <v>1002.99</v>
      </c>
    </row>
    <row r="181" spans="2:11">
      <c r="B181" s="7">
        <v>10635</v>
      </c>
      <c r="C181" s="8">
        <v>44909</v>
      </c>
      <c r="D181" s="9" t="s">
        <v>18</v>
      </c>
      <c r="E181" s="7" t="s">
        <v>10</v>
      </c>
      <c r="F181" s="7" t="s">
        <v>11</v>
      </c>
      <c r="G181" s="9" t="s">
        <v>26</v>
      </c>
      <c r="H181" s="9" t="s">
        <v>17</v>
      </c>
      <c r="I181" s="24">
        <v>12.99</v>
      </c>
      <c r="J181" s="10">
        <v>555</v>
      </c>
      <c r="K181" s="22">
        <f t="shared" si="2"/>
        <v>7209.45</v>
      </c>
    </row>
    <row r="182" spans="2:11">
      <c r="B182" s="7">
        <v>10636</v>
      </c>
      <c r="C182" s="8">
        <v>44909</v>
      </c>
      <c r="D182" s="9" t="s">
        <v>22</v>
      </c>
      <c r="E182" s="7" t="s">
        <v>10</v>
      </c>
      <c r="F182" s="7" t="s">
        <v>11</v>
      </c>
      <c r="G182" s="9" t="s">
        <v>26</v>
      </c>
      <c r="H182" s="9" t="s">
        <v>17</v>
      </c>
      <c r="I182" s="24">
        <v>9.9499999999999993</v>
      </c>
      <c r="J182" s="10">
        <v>222</v>
      </c>
      <c r="K182" s="22">
        <f t="shared" si="2"/>
        <v>2208.8999999999996</v>
      </c>
    </row>
    <row r="183" spans="2:11">
      <c r="B183" s="7">
        <v>10637</v>
      </c>
      <c r="C183" s="8">
        <v>44909</v>
      </c>
      <c r="D183" s="9" t="s">
        <v>9</v>
      </c>
      <c r="E183" s="7" t="s">
        <v>10</v>
      </c>
      <c r="F183" s="7" t="s">
        <v>11</v>
      </c>
      <c r="G183" s="9" t="s">
        <v>26</v>
      </c>
      <c r="H183" s="9" t="s">
        <v>17</v>
      </c>
      <c r="I183" s="24">
        <v>3.49</v>
      </c>
      <c r="J183" s="10">
        <v>631</v>
      </c>
      <c r="K183" s="22">
        <f t="shared" si="2"/>
        <v>2202.19</v>
      </c>
    </row>
    <row r="184" spans="2:11">
      <c r="B184" s="7">
        <v>10638</v>
      </c>
      <c r="C184" s="8">
        <v>44909</v>
      </c>
      <c r="D184" s="9" t="s">
        <v>13</v>
      </c>
      <c r="E184" s="7" t="s">
        <v>10</v>
      </c>
      <c r="F184" s="7" t="s">
        <v>11</v>
      </c>
      <c r="G184" s="9" t="s">
        <v>26</v>
      </c>
      <c r="H184" s="9" t="s">
        <v>17</v>
      </c>
      <c r="I184" s="24">
        <v>2.95</v>
      </c>
      <c r="J184" s="10">
        <v>678</v>
      </c>
      <c r="K184" s="22">
        <f t="shared" si="2"/>
        <v>2000.1000000000001</v>
      </c>
    </row>
    <row r="185" spans="2:11">
      <c r="B185" s="7">
        <v>10639</v>
      </c>
      <c r="C185" s="8">
        <v>44909</v>
      </c>
      <c r="D185" s="9" t="s">
        <v>15</v>
      </c>
      <c r="E185" s="7" t="s">
        <v>10</v>
      </c>
      <c r="F185" s="7" t="s">
        <v>11</v>
      </c>
      <c r="G185" s="9" t="s">
        <v>26</v>
      </c>
      <c r="H185" s="9" t="s">
        <v>17</v>
      </c>
      <c r="I185" s="24">
        <v>4.99</v>
      </c>
      <c r="J185" s="10">
        <v>201</v>
      </c>
      <c r="K185" s="22">
        <f t="shared" si="2"/>
        <v>1002.99</v>
      </c>
    </row>
    <row r="186" spans="2:11">
      <c r="B186" s="7">
        <v>10640</v>
      </c>
      <c r="C186" s="8">
        <v>44910</v>
      </c>
      <c r="D186" s="9" t="s">
        <v>18</v>
      </c>
      <c r="E186" s="7" t="s">
        <v>10</v>
      </c>
      <c r="F186" s="7" t="s">
        <v>11</v>
      </c>
      <c r="G186" s="9" t="s">
        <v>26</v>
      </c>
      <c r="H186" s="9" t="s">
        <v>17</v>
      </c>
      <c r="I186" s="24">
        <v>12.99</v>
      </c>
      <c r="J186" s="10">
        <v>539</v>
      </c>
      <c r="K186" s="22">
        <f t="shared" si="2"/>
        <v>7001.61</v>
      </c>
    </row>
    <row r="187" spans="2:11">
      <c r="B187" s="7">
        <v>10641</v>
      </c>
      <c r="C187" s="8">
        <v>44910</v>
      </c>
      <c r="D187" s="9" t="s">
        <v>22</v>
      </c>
      <c r="E187" s="7" t="s">
        <v>10</v>
      </c>
      <c r="F187" s="7" t="s">
        <v>11</v>
      </c>
      <c r="G187" s="9" t="s">
        <v>26</v>
      </c>
      <c r="H187" s="9" t="s">
        <v>17</v>
      </c>
      <c r="I187" s="24">
        <v>9.9499999999999993</v>
      </c>
      <c r="J187" s="10">
        <v>222</v>
      </c>
      <c r="K187" s="22">
        <f t="shared" si="2"/>
        <v>2208.8999999999996</v>
      </c>
    </row>
    <row r="188" spans="2:11">
      <c r="B188" s="7">
        <v>10642</v>
      </c>
      <c r="C188" s="8">
        <v>44910</v>
      </c>
      <c r="D188" s="9" t="s">
        <v>9</v>
      </c>
      <c r="E188" s="7" t="s">
        <v>10</v>
      </c>
      <c r="F188" s="7" t="s">
        <v>28</v>
      </c>
      <c r="G188" s="9" t="s">
        <v>26</v>
      </c>
      <c r="H188" s="9" t="s">
        <v>17</v>
      </c>
      <c r="I188" s="24">
        <v>3.49</v>
      </c>
      <c r="J188" s="10">
        <v>631</v>
      </c>
      <c r="K188" s="22">
        <f t="shared" si="2"/>
        <v>2202.19</v>
      </c>
    </row>
    <row r="189" spans="2:11">
      <c r="B189" s="7">
        <v>10643</v>
      </c>
      <c r="C189" s="8">
        <v>44910</v>
      </c>
      <c r="D189" s="9" t="s">
        <v>13</v>
      </c>
      <c r="E189" s="7" t="s">
        <v>10</v>
      </c>
      <c r="F189" s="7" t="s">
        <v>28</v>
      </c>
      <c r="G189" s="9" t="s">
        <v>26</v>
      </c>
      <c r="H189" s="9" t="s">
        <v>17</v>
      </c>
      <c r="I189" s="24">
        <v>2.95</v>
      </c>
      <c r="J189" s="10">
        <v>678</v>
      </c>
      <c r="K189" s="22">
        <f t="shared" si="2"/>
        <v>2000.1000000000001</v>
      </c>
    </row>
    <row r="190" spans="2:11">
      <c r="B190" s="7">
        <v>10644</v>
      </c>
      <c r="C190" s="8">
        <v>44910</v>
      </c>
      <c r="D190" s="9" t="s">
        <v>15</v>
      </c>
      <c r="E190" s="7" t="s">
        <v>10</v>
      </c>
      <c r="F190" s="7" t="s">
        <v>28</v>
      </c>
      <c r="G190" s="9" t="s">
        <v>26</v>
      </c>
      <c r="H190" s="9" t="s">
        <v>17</v>
      </c>
      <c r="I190" s="24">
        <v>4.99</v>
      </c>
      <c r="J190" s="10">
        <v>201</v>
      </c>
      <c r="K190" s="22">
        <f t="shared" si="2"/>
        <v>1002.99</v>
      </c>
    </row>
    <row r="191" spans="2:11">
      <c r="B191" s="7">
        <v>10645</v>
      </c>
      <c r="C191" s="8">
        <v>44911</v>
      </c>
      <c r="D191" s="9" t="s">
        <v>18</v>
      </c>
      <c r="E191" s="7" t="s">
        <v>10</v>
      </c>
      <c r="F191" s="7" t="s">
        <v>28</v>
      </c>
      <c r="G191" s="9" t="s">
        <v>26</v>
      </c>
      <c r="H191" s="9" t="s">
        <v>17</v>
      </c>
      <c r="I191" s="24">
        <v>12.99</v>
      </c>
      <c r="J191" s="10">
        <v>570</v>
      </c>
      <c r="K191" s="22">
        <f t="shared" si="2"/>
        <v>7404.3</v>
      </c>
    </row>
    <row r="192" spans="2:11">
      <c r="B192" s="7">
        <v>10646</v>
      </c>
      <c r="C192" s="8">
        <v>44911</v>
      </c>
      <c r="D192" s="9" t="s">
        <v>22</v>
      </c>
      <c r="E192" s="7" t="s">
        <v>10</v>
      </c>
      <c r="F192" s="7" t="s">
        <v>28</v>
      </c>
      <c r="G192" s="9" t="s">
        <v>26</v>
      </c>
      <c r="H192" s="9" t="s">
        <v>17</v>
      </c>
      <c r="I192" s="24">
        <v>9.9499999999999993</v>
      </c>
      <c r="J192" s="10">
        <v>222</v>
      </c>
      <c r="K192" s="22">
        <f t="shared" si="2"/>
        <v>2208.8999999999996</v>
      </c>
    </row>
    <row r="193" spans="2:11">
      <c r="B193" s="7">
        <v>10647</v>
      </c>
      <c r="C193" s="8">
        <v>44911</v>
      </c>
      <c r="D193" s="9" t="s">
        <v>9</v>
      </c>
      <c r="E193" s="7" t="s">
        <v>10</v>
      </c>
      <c r="F193" s="7" t="s">
        <v>11</v>
      </c>
      <c r="G193" s="9" t="s">
        <v>26</v>
      </c>
      <c r="H193" s="9" t="s">
        <v>17</v>
      </c>
      <c r="I193" s="24">
        <v>3.49</v>
      </c>
      <c r="J193" s="10">
        <v>631</v>
      </c>
      <c r="K193" s="22">
        <f t="shared" si="2"/>
        <v>2202.19</v>
      </c>
    </row>
    <row r="194" spans="2:11">
      <c r="B194" s="7">
        <v>10648</v>
      </c>
      <c r="C194" s="8">
        <v>44911</v>
      </c>
      <c r="D194" s="9" t="s">
        <v>13</v>
      </c>
      <c r="E194" s="7" t="s">
        <v>10</v>
      </c>
      <c r="F194" s="7" t="s">
        <v>11</v>
      </c>
      <c r="G194" s="9" t="s">
        <v>26</v>
      </c>
      <c r="H194" s="9" t="s">
        <v>17</v>
      </c>
      <c r="I194" s="24">
        <v>2.95</v>
      </c>
      <c r="J194" s="10">
        <v>746</v>
      </c>
      <c r="K194" s="22">
        <f t="shared" si="2"/>
        <v>2200.7000000000003</v>
      </c>
    </row>
    <row r="195" spans="2:11">
      <c r="B195" s="7">
        <v>10649</v>
      </c>
      <c r="C195" s="8">
        <v>44911</v>
      </c>
      <c r="D195" s="9" t="s">
        <v>15</v>
      </c>
      <c r="E195" s="7" t="s">
        <v>10</v>
      </c>
      <c r="F195" s="7" t="s">
        <v>11</v>
      </c>
      <c r="G195" s="9" t="s">
        <v>26</v>
      </c>
      <c r="H195" s="9" t="s">
        <v>17</v>
      </c>
      <c r="I195" s="24">
        <v>4.99</v>
      </c>
      <c r="J195" s="10">
        <v>201</v>
      </c>
      <c r="K195" s="22">
        <f t="shared" si="2"/>
        <v>1002.99</v>
      </c>
    </row>
    <row r="196" spans="2:11">
      <c r="B196" s="7">
        <v>10650</v>
      </c>
      <c r="C196" s="8">
        <v>44912</v>
      </c>
      <c r="D196" s="9" t="s">
        <v>18</v>
      </c>
      <c r="E196" s="7" t="s">
        <v>10</v>
      </c>
      <c r="F196" s="7" t="s">
        <v>11</v>
      </c>
      <c r="G196" s="9" t="s">
        <v>26</v>
      </c>
      <c r="H196" s="9" t="s">
        <v>17</v>
      </c>
      <c r="I196" s="24">
        <v>12.99</v>
      </c>
      <c r="J196" s="10">
        <v>586</v>
      </c>
      <c r="K196" s="22">
        <f t="shared" ref="K196:K259" si="3">PRODUCT(I196:J196)</f>
        <v>7612.14</v>
      </c>
    </row>
    <row r="197" spans="2:11">
      <c r="B197" s="7">
        <v>10651</v>
      </c>
      <c r="C197" s="8">
        <v>44912</v>
      </c>
      <c r="D197" s="9" t="s">
        <v>22</v>
      </c>
      <c r="E197" s="7" t="s">
        <v>10</v>
      </c>
      <c r="F197" s="7" t="s">
        <v>11</v>
      </c>
      <c r="G197" s="9" t="s">
        <v>26</v>
      </c>
      <c r="H197" s="9" t="s">
        <v>17</v>
      </c>
      <c r="I197" s="24">
        <v>9.9499999999999993</v>
      </c>
      <c r="J197" s="10">
        <v>222</v>
      </c>
      <c r="K197" s="22">
        <f t="shared" si="3"/>
        <v>2208.8999999999996</v>
      </c>
    </row>
    <row r="198" spans="2:11">
      <c r="B198" s="7">
        <v>10652</v>
      </c>
      <c r="C198" s="8">
        <v>44912</v>
      </c>
      <c r="D198" s="9" t="s">
        <v>9</v>
      </c>
      <c r="E198" s="7" t="s">
        <v>10</v>
      </c>
      <c r="F198" s="7" t="s">
        <v>11</v>
      </c>
      <c r="G198" s="9" t="s">
        <v>26</v>
      </c>
      <c r="H198" s="9" t="s">
        <v>17</v>
      </c>
      <c r="I198" s="24">
        <v>3.49</v>
      </c>
      <c r="J198" s="10">
        <v>688</v>
      </c>
      <c r="K198" s="22">
        <f t="shared" si="3"/>
        <v>2401.1200000000003</v>
      </c>
    </row>
    <row r="199" spans="2:11">
      <c r="B199" s="7">
        <v>10653</v>
      </c>
      <c r="C199" s="8">
        <v>44912</v>
      </c>
      <c r="D199" s="9" t="s">
        <v>13</v>
      </c>
      <c r="E199" s="7" t="s">
        <v>10</v>
      </c>
      <c r="F199" s="7" t="s">
        <v>11</v>
      </c>
      <c r="G199" s="9" t="s">
        <v>26</v>
      </c>
      <c r="H199" s="9" t="s">
        <v>17</v>
      </c>
      <c r="I199" s="24">
        <v>2.95</v>
      </c>
      <c r="J199" s="10">
        <v>746</v>
      </c>
      <c r="K199" s="22">
        <f t="shared" si="3"/>
        <v>2200.7000000000003</v>
      </c>
    </row>
    <row r="200" spans="2:11">
      <c r="B200" s="7">
        <v>10654</v>
      </c>
      <c r="C200" s="8">
        <v>44912</v>
      </c>
      <c r="D200" s="9" t="s">
        <v>15</v>
      </c>
      <c r="E200" s="7" t="s">
        <v>10</v>
      </c>
      <c r="F200" s="7" t="s">
        <v>11</v>
      </c>
      <c r="G200" s="9" t="s">
        <v>26</v>
      </c>
      <c r="H200" s="9" t="s">
        <v>17</v>
      </c>
      <c r="I200" s="24">
        <v>4.99</v>
      </c>
      <c r="J200" s="10">
        <v>201</v>
      </c>
      <c r="K200" s="22">
        <f t="shared" si="3"/>
        <v>1002.99</v>
      </c>
    </row>
    <row r="201" spans="2:11">
      <c r="B201" s="7">
        <v>10655</v>
      </c>
      <c r="C201" s="8">
        <v>44913</v>
      </c>
      <c r="D201" s="9" t="s">
        <v>18</v>
      </c>
      <c r="E201" s="7" t="s">
        <v>10</v>
      </c>
      <c r="F201" s="7" t="s">
        <v>11</v>
      </c>
      <c r="G201" s="9" t="s">
        <v>26</v>
      </c>
      <c r="H201" s="9" t="s">
        <v>17</v>
      </c>
      <c r="I201" s="24">
        <v>12.99</v>
      </c>
      <c r="J201" s="10">
        <v>601</v>
      </c>
      <c r="K201" s="22">
        <f t="shared" si="3"/>
        <v>7806.99</v>
      </c>
    </row>
    <row r="202" spans="2:11">
      <c r="B202" s="7">
        <v>10656</v>
      </c>
      <c r="C202" s="8">
        <v>44913</v>
      </c>
      <c r="D202" s="9" t="s">
        <v>22</v>
      </c>
      <c r="E202" s="7" t="s">
        <v>10</v>
      </c>
      <c r="F202" s="7" t="s">
        <v>11</v>
      </c>
      <c r="G202" s="9" t="s">
        <v>26</v>
      </c>
      <c r="H202" s="9" t="s">
        <v>17</v>
      </c>
      <c r="I202" s="24">
        <v>9.9499999999999993</v>
      </c>
      <c r="J202" s="10">
        <v>222</v>
      </c>
      <c r="K202" s="22">
        <f t="shared" si="3"/>
        <v>2208.8999999999996</v>
      </c>
    </row>
    <row r="203" spans="2:11">
      <c r="B203" s="7">
        <v>10657</v>
      </c>
      <c r="C203" s="8">
        <v>44913</v>
      </c>
      <c r="D203" s="9" t="s">
        <v>9</v>
      </c>
      <c r="E203" s="7" t="s">
        <v>10</v>
      </c>
      <c r="F203" s="7" t="s">
        <v>11</v>
      </c>
      <c r="G203" s="9" t="s">
        <v>26</v>
      </c>
      <c r="H203" s="9" t="s">
        <v>17</v>
      </c>
      <c r="I203" s="24">
        <v>3.49</v>
      </c>
      <c r="J203" s="10">
        <v>688</v>
      </c>
      <c r="K203" s="22">
        <f t="shared" si="3"/>
        <v>2401.1200000000003</v>
      </c>
    </row>
    <row r="204" spans="2:11">
      <c r="B204" s="7">
        <v>10658</v>
      </c>
      <c r="C204" s="8">
        <v>44913</v>
      </c>
      <c r="D204" s="9" t="s">
        <v>13</v>
      </c>
      <c r="E204" s="7" t="s">
        <v>10</v>
      </c>
      <c r="F204" s="7" t="s">
        <v>28</v>
      </c>
      <c r="G204" s="9" t="s">
        <v>26</v>
      </c>
      <c r="H204" s="9" t="s">
        <v>17</v>
      </c>
      <c r="I204" s="24">
        <v>2.95</v>
      </c>
      <c r="J204" s="10">
        <v>746</v>
      </c>
      <c r="K204" s="22">
        <f t="shared" si="3"/>
        <v>2200.7000000000003</v>
      </c>
    </row>
    <row r="205" spans="2:11">
      <c r="B205" s="7">
        <v>10659</v>
      </c>
      <c r="C205" s="8">
        <v>44913</v>
      </c>
      <c r="D205" s="9" t="s">
        <v>15</v>
      </c>
      <c r="E205" s="7" t="s">
        <v>10</v>
      </c>
      <c r="F205" s="7" t="s">
        <v>28</v>
      </c>
      <c r="G205" s="9" t="s">
        <v>26</v>
      </c>
      <c r="H205" s="9" t="s">
        <v>17</v>
      </c>
      <c r="I205" s="24">
        <v>4.99</v>
      </c>
      <c r="J205" s="10">
        <v>201</v>
      </c>
      <c r="K205" s="22">
        <f t="shared" si="3"/>
        <v>1002.99</v>
      </c>
    </row>
    <row r="206" spans="2:11">
      <c r="B206" s="7">
        <v>10660</v>
      </c>
      <c r="C206" s="8">
        <v>44914</v>
      </c>
      <c r="D206" s="9" t="s">
        <v>18</v>
      </c>
      <c r="E206" s="7" t="s">
        <v>16</v>
      </c>
      <c r="F206" s="7" t="s">
        <v>28</v>
      </c>
      <c r="G206" s="9" t="s">
        <v>26</v>
      </c>
      <c r="H206" s="9" t="s">
        <v>17</v>
      </c>
      <c r="I206" s="24">
        <v>12.99</v>
      </c>
      <c r="J206" s="10">
        <v>632</v>
      </c>
      <c r="K206" s="22">
        <f t="shared" si="3"/>
        <v>8209.68</v>
      </c>
    </row>
    <row r="207" spans="2:11">
      <c r="B207" s="7">
        <v>10661</v>
      </c>
      <c r="C207" s="8">
        <v>44914</v>
      </c>
      <c r="D207" s="9" t="s">
        <v>22</v>
      </c>
      <c r="E207" s="7" t="s">
        <v>16</v>
      </c>
      <c r="F207" s="7" t="s">
        <v>28</v>
      </c>
      <c r="G207" s="9" t="s">
        <v>26</v>
      </c>
      <c r="H207" s="9" t="s">
        <v>17</v>
      </c>
      <c r="I207" s="24">
        <v>9.9499999999999993</v>
      </c>
      <c r="J207" s="10">
        <v>222</v>
      </c>
      <c r="K207" s="22">
        <f t="shared" si="3"/>
        <v>2208.8999999999996</v>
      </c>
    </row>
    <row r="208" spans="2:11">
      <c r="B208" s="7">
        <v>10662</v>
      </c>
      <c r="C208" s="8">
        <v>44914</v>
      </c>
      <c r="D208" s="9" t="s">
        <v>9</v>
      </c>
      <c r="E208" s="7" t="s">
        <v>16</v>
      </c>
      <c r="F208" s="7" t="s">
        <v>28</v>
      </c>
      <c r="G208" s="9" t="s">
        <v>26</v>
      </c>
      <c r="H208" s="9" t="s">
        <v>17</v>
      </c>
      <c r="I208" s="24">
        <v>3.49</v>
      </c>
      <c r="J208" s="10">
        <v>631</v>
      </c>
      <c r="K208" s="22">
        <f t="shared" si="3"/>
        <v>2202.19</v>
      </c>
    </row>
    <row r="209" spans="2:11">
      <c r="B209" s="7">
        <v>10663</v>
      </c>
      <c r="C209" s="8">
        <v>44914</v>
      </c>
      <c r="D209" s="9" t="s">
        <v>13</v>
      </c>
      <c r="E209" s="7" t="s">
        <v>16</v>
      </c>
      <c r="F209" s="7" t="s">
        <v>28</v>
      </c>
      <c r="G209" s="9" t="s">
        <v>26</v>
      </c>
      <c r="H209" s="9" t="s">
        <v>17</v>
      </c>
      <c r="I209" s="24">
        <v>2.95</v>
      </c>
      <c r="J209" s="10">
        <v>746</v>
      </c>
      <c r="K209" s="22">
        <f t="shared" si="3"/>
        <v>2200.7000000000003</v>
      </c>
    </row>
    <row r="210" spans="2:11">
      <c r="B210" s="7">
        <v>10664</v>
      </c>
      <c r="C210" s="8">
        <v>44914</v>
      </c>
      <c r="D210" s="9" t="s">
        <v>15</v>
      </c>
      <c r="E210" s="7" t="s">
        <v>16</v>
      </c>
      <c r="F210" s="7" t="s">
        <v>28</v>
      </c>
      <c r="G210" s="9" t="s">
        <v>26</v>
      </c>
      <c r="H210" s="9" t="s">
        <v>17</v>
      </c>
      <c r="I210" s="24">
        <v>4.99</v>
      </c>
      <c r="J210" s="10">
        <v>201</v>
      </c>
      <c r="K210" s="22">
        <f t="shared" si="3"/>
        <v>1002.99</v>
      </c>
    </row>
    <row r="211" spans="2:11">
      <c r="B211" s="7">
        <v>10665</v>
      </c>
      <c r="C211" s="8">
        <v>44915</v>
      </c>
      <c r="D211" s="9" t="s">
        <v>18</v>
      </c>
      <c r="E211" s="7" t="s">
        <v>16</v>
      </c>
      <c r="F211" s="7" t="s">
        <v>28</v>
      </c>
      <c r="G211" s="9" t="s">
        <v>26</v>
      </c>
      <c r="H211" s="9" t="s">
        <v>17</v>
      </c>
      <c r="I211" s="24">
        <v>12.99</v>
      </c>
      <c r="J211" s="10">
        <v>647</v>
      </c>
      <c r="K211" s="22">
        <f t="shared" si="3"/>
        <v>8404.5300000000007</v>
      </c>
    </row>
    <row r="212" spans="2:11">
      <c r="B212" s="7">
        <v>10666</v>
      </c>
      <c r="C212" s="8">
        <v>44915</v>
      </c>
      <c r="D212" s="9" t="s">
        <v>22</v>
      </c>
      <c r="E212" s="7" t="s">
        <v>16</v>
      </c>
      <c r="F212" s="7" t="s">
        <v>28</v>
      </c>
      <c r="G212" s="9" t="s">
        <v>26</v>
      </c>
      <c r="H212" s="9" t="s">
        <v>17</v>
      </c>
      <c r="I212" s="24">
        <v>9.9499999999999993</v>
      </c>
      <c r="J212" s="10">
        <v>222</v>
      </c>
      <c r="K212" s="22">
        <f t="shared" si="3"/>
        <v>2208.8999999999996</v>
      </c>
    </row>
    <row r="213" spans="2:11">
      <c r="B213" s="7">
        <v>10667</v>
      </c>
      <c r="C213" s="8">
        <v>44915</v>
      </c>
      <c r="D213" s="9" t="s">
        <v>9</v>
      </c>
      <c r="E213" s="7" t="s">
        <v>16</v>
      </c>
      <c r="F213" s="7" t="s">
        <v>28</v>
      </c>
      <c r="G213" s="9" t="s">
        <v>26</v>
      </c>
      <c r="H213" s="9" t="s">
        <v>17</v>
      </c>
      <c r="I213" s="24">
        <v>3.49</v>
      </c>
      <c r="J213" s="10">
        <v>631</v>
      </c>
      <c r="K213" s="22">
        <f t="shared" si="3"/>
        <v>2202.19</v>
      </c>
    </row>
    <row r="214" spans="2:11">
      <c r="B214" s="7">
        <v>10668</v>
      </c>
      <c r="C214" s="8">
        <v>44915</v>
      </c>
      <c r="D214" s="9" t="s">
        <v>13</v>
      </c>
      <c r="E214" s="7" t="s">
        <v>16</v>
      </c>
      <c r="F214" s="7" t="s">
        <v>28</v>
      </c>
      <c r="G214" s="9" t="s">
        <v>26</v>
      </c>
      <c r="H214" s="9" t="s">
        <v>17</v>
      </c>
      <c r="I214" s="24">
        <v>2.95</v>
      </c>
      <c r="J214" s="10">
        <v>746</v>
      </c>
      <c r="K214" s="22">
        <f t="shared" si="3"/>
        <v>2200.7000000000003</v>
      </c>
    </row>
    <row r="215" spans="2:11">
      <c r="B215" s="7">
        <v>10669</v>
      </c>
      <c r="C215" s="8">
        <v>44915</v>
      </c>
      <c r="D215" s="9" t="s">
        <v>15</v>
      </c>
      <c r="E215" s="7" t="s">
        <v>16</v>
      </c>
      <c r="F215" s="7" t="s">
        <v>28</v>
      </c>
      <c r="G215" s="9" t="s">
        <v>26</v>
      </c>
      <c r="H215" s="9" t="s">
        <v>17</v>
      </c>
      <c r="I215" s="24">
        <v>4.99</v>
      </c>
      <c r="J215" s="10">
        <v>201</v>
      </c>
      <c r="K215" s="22">
        <f t="shared" si="3"/>
        <v>1002.99</v>
      </c>
    </row>
    <row r="216" spans="2:11">
      <c r="B216" s="7">
        <v>10670</v>
      </c>
      <c r="C216" s="8">
        <v>44916</v>
      </c>
      <c r="D216" s="9" t="s">
        <v>18</v>
      </c>
      <c r="E216" s="7" t="s">
        <v>16</v>
      </c>
      <c r="F216" s="7" t="s">
        <v>28</v>
      </c>
      <c r="G216" s="9" t="s">
        <v>26</v>
      </c>
      <c r="H216" s="9" t="s">
        <v>17</v>
      </c>
      <c r="I216" s="24">
        <v>12.99</v>
      </c>
      <c r="J216" s="10">
        <v>678</v>
      </c>
      <c r="K216" s="22">
        <f t="shared" si="3"/>
        <v>8807.2199999999993</v>
      </c>
    </row>
    <row r="217" spans="2:11">
      <c r="B217" s="7">
        <v>10671</v>
      </c>
      <c r="C217" s="8">
        <v>44916</v>
      </c>
      <c r="D217" s="9" t="s">
        <v>22</v>
      </c>
      <c r="E217" s="7" t="s">
        <v>16</v>
      </c>
      <c r="F217" s="7" t="s">
        <v>28</v>
      </c>
      <c r="G217" s="9" t="s">
        <v>26</v>
      </c>
      <c r="H217" s="9" t="s">
        <v>17</v>
      </c>
      <c r="I217" s="24">
        <v>9.9499999999999993</v>
      </c>
      <c r="J217" s="10">
        <v>222</v>
      </c>
      <c r="K217" s="22">
        <f t="shared" si="3"/>
        <v>2208.8999999999996</v>
      </c>
    </row>
    <row r="218" spans="2:11">
      <c r="B218" s="7">
        <v>10672</v>
      </c>
      <c r="C218" s="8">
        <v>44916</v>
      </c>
      <c r="D218" s="9" t="s">
        <v>9</v>
      </c>
      <c r="E218" s="7" t="s">
        <v>16</v>
      </c>
      <c r="F218" s="7" t="s">
        <v>28</v>
      </c>
      <c r="G218" s="9" t="s">
        <v>26</v>
      </c>
      <c r="H218" s="9" t="s">
        <v>17</v>
      </c>
      <c r="I218" s="24">
        <v>3.49</v>
      </c>
      <c r="J218" s="10">
        <v>631</v>
      </c>
      <c r="K218" s="22">
        <f t="shared" si="3"/>
        <v>2202.19</v>
      </c>
    </row>
    <row r="219" spans="2:11">
      <c r="B219" s="7">
        <v>10673</v>
      </c>
      <c r="C219" s="8">
        <v>44916</v>
      </c>
      <c r="D219" s="9" t="s">
        <v>13</v>
      </c>
      <c r="E219" s="7" t="s">
        <v>16</v>
      </c>
      <c r="F219" s="7" t="s">
        <v>28</v>
      </c>
      <c r="G219" s="9" t="s">
        <v>26</v>
      </c>
      <c r="H219" s="9" t="s">
        <v>17</v>
      </c>
      <c r="I219" s="24">
        <v>2.95</v>
      </c>
      <c r="J219" s="10">
        <v>746</v>
      </c>
      <c r="K219" s="22">
        <f t="shared" si="3"/>
        <v>2200.7000000000003</v>
      </c>
    </row>
    <row r="220" spans="2:11">
      <c r="B220" s="7">
        <v>10674</v>
      </c>
      <c r="C220" s="8">
        <v>44916</v>
      </c>
      <c r="D220" s="9" t="s">
        <v>15</v>
      </c>
      <c r="E220" s="7" t="s">
        <v>16</v>
      </c>
      <c r="F220" s="7" t="s">
        <v>28</v>
      </c>
      <c r="G220" s="9" t="s">
        <v>26</v>
      </c>
      <c r="H220" s="9" t="s">
        <v>17</v>
      </c>
      <c r="I220" s="24">
        <v>4.99</v>
      </c>
      <c r="J220" s="10">
        <v>201</v>
      </c>
      <c r="K220" s="22">
        <f t="shared" si="3"/>
        <v>1002.99</v>
      </c>
    </row>
    <row r="221" spans="2:11">
      <c r="B221" s="7">
        <v>10675</v>
      </c>
      <c r="C221" s="8">
        <v>44917</v>
      </c>
      <c r="D221" s="9" t="s">
        <v>18</v>
      </c>
      <c r="E221" s="7" t="s">
        <v>16</v>
      </c>
      <c r="F221" s="7" t="s">
        <v>28</v>
      </c>
      <c r="G221" s="9" t="s">
        <v>26</v>
      </c>
      <c r="H221" s="9" t="s">
        <v>17</v>
      </c>
      <c r="I221" s="24">
        <v>12.99</v>
      </c>
      <c r="J221" s="10">
        <v>678</v>
      </c>
      <c r="K221" s="22">
        <f t="shared" si="3"/>
        <v>8807.2199999999993</v>
      </c>
    </row>
    <row r="222" spans="2:11">
      <c r="B222" s="7">
        <v>10676</v>
      </c>
      <c r="C222" s="8">
        <v>44917</v>
      </c>
      <c r="D222" s="9" t="s">
        <v>22</v>
      </c>
      <c r="E222" s="7" t="s">
        <v>16</v>
      </c>
      <c r="F222" s="7" t="s">
        <v>28</v>
      </c>
      <c r="G222" s="9" t="s">
        <v>26</v>
      </c>
      <c r="H222" s="9" t="s">
        <v>17</v>
      </c>
      <c r="I222" s="24">
        <v>9.9499999999999993</v>
      </c>
      <c r="J222" s="10">
        <v>242</v>
      </c>
      <c r="K222" s="22">
        <f t="shared" si="3"/>
        <v>2407.8999999999996</v>
      </c>
    </row>
    <row r="223" spans="2:11">
      <c r="B223" s="7">
        <v>10677</v>
      </c>
      <c r="C223" s="8">
        <v>44917</v>
      </c>
      <c r="D223" s="9" t="s">
        <v>9</v>
      </c>
      <c r="E223" s="7" t="s">
        <v>16</v>
      </c>
      <c r="F223" s="7" t="s">
        <v>28</v>
      </c>
      <c r="G223" s="9" t="s">
        <v>26</v>
      </c>
      <c r="H223" s="9" t="s">
        <v>17</v>
      </c>
      <c r="I223" s="24">
        <v>3.49</v>
      </c>
      <c r="J223" s="10">
        <v>631</v>
      </c>
      <c r="K223" s="22">
        <f t="shared" si="3"/>
        <v>2202.19</v>
      </c>
    </row>
    <row r="224" spans="2:11">
      <c r="B224" s="7">
        <v>10678</v>
      </c>
      <c r="C224" s="8">
        <v>44917</v>
      </c>
      <c r="D224" s="9" t="s">
        <v>13</v>
      </c>
      <c r="E224" s="7" t="s">
        <v>16</v>
      </c>
      <c r="F224" s="7" t="s">
        <v>28</v>
      </c>
      <c r="G224" s="9" t="s">
        <v>26</v>
      </c>
      <c r="H224" s="9" t="s">
        <v>17</v>
      </c>
      <c r="I224" s="24">
        <v>2.95</v>
      </c>
      <c r="J224" s="10">
        <v>746</v>
      </c>
      <c r="K224" s="22">
        <f t="shared" si="3"/>
        <v>2200.7000000000003</v>
      </c>
    </row>
    <row r="225" spans="2:19">
      <c r="B225" s="7">
        <v>10679</v>
      </c>
      <c r="C225" s="8">
        <v>44917</v>
      </c>
      <c r="D225" s="9" t="s">
        <v>15</v>
      </c>
      <c r="E225" s="7" t="s">
        <v>16</v>
      </c>
      <c r="F225" s="7" t="s">
        <v>28</v>
      </c>
      <c r="G225" s="9" t="s">
        <v>26</v>
      </c>
      <c r="H225" s="9" t="s">
        <v>17</v>
      </c>
      <c r="I225" s="24">
        <v>4.99</v>
      </c>
      <c r="J225" s="10">
        <v>201</v>
      </c>
      <c r="K225" s="22">
        <f t="shared" si="3"/>
        <v>1002.99</v>
      </c>
    </row>
    <row r="226" spans="2:19">
      <c r="B226" s="7">
        <v>10680</v>
      </c>
      <c r="C226" s="8">
        <v>44918</v>
      </c>
      <c r="D226" s="9" t="s">
        <v>18</v>
      </c>
      <c r="E226" s="7" t="s">
        <v>16</v>
      </c>
      <c r="F226" s="7" t="s">
        <v>28</v>
      </c>
      <c r="G226" s="9" t="s">
        <v>26</v>
      </c>
      <c r="H226" s="9" t="s">
        <v>17</v>
      </c>
      <c r="I226" s="24">
        <v>12.99</v>
      </c>
      <c r="J226" s="10">
        <v>647</v>
      </c>
      <c r="K226" s="22">
        <f t="shared" si="3"/>
        <v>8404.5300000000007</v>
      </c>
    </row>
    <row r="227" spans="2:19">
      <c r="B227" s="7">
        <v>10681</v>
      </c>
      <c r="C227" s="8">
        <v>44918</v>
      </c>
      <c r="D227" s="9" t="s">
        <v>22</v>
      </c>
      <c r="E227" s="7" t="s">
        <v>16</v>
      </c>
      <c r="F227" s="7" t="s">
        <v>28</v>
      </c>
      <c r="G227" s="9" t="s">
        <v>26</v>
      </c>
      <c r="H227" s="9" t="s">
        <v>17</v>
      </c>
      <c r="I227" s="24">
        <v>9.9499999999999993</v>
      </c>
      <c r="J227" s="10">
        <v>242</v>
      </c>
      <c r="K227" s="22">
        <f t="shared" si="3"/>
        <v>2407.8999999999996</v>
      </c>
    </row>
    <row r="228" spans="2:19">
      <c r="B228" s="7">
        <v>10682</v>
      </c>
      <c r="C228" s="8">
        <v>44918</v>
      </c>
      <c r="D228" s="9" t="s">
        <v>9</v>
      </c>
      <c r="E228" s="7" t="s">
        <v>16</v>
      </c>
      <c r="F228" s="7" t="s">
        <v>28</v>
      </c>
      <c r="G228" s="9" t="s">
        <v>26</v>
      </c>
      <c r="H228" s="9" t="s">
        <v>17</v>
      </c>
      <c r="I228" s="24">
        <v>3.49</v>
      </c>
      <c r="J228" s="10">
        <v>631</v>
      </c>
      <c r="K228" s="22">
        <f t="shared" si="3"/>
        <v>2202.19</v>
      </c>
    </row>
    <row r="229" spans="2:19">
      <c r="B229" s="7">
        <v>10683</v>
      </c>
      <c r="C229" s="8">
        <v>44918</v>
      </c>
      <c r="D229" s="9" t="s">
        <v>13</v>
      </c>
      <c r="E229" s="7" t="s">
        <v>16</v>
      </c>
      <c r="F229" s="7" t="s">
        <v>28</v>
      </c>
      <c r="G229" s="9" t="s">
        <v>26</v>
      </c>
      <c r="H229" s="9" t="s">
        <v>17</v>
      </c>
      <c r="I229" s="24">
        <v>2.95</v>
      </c>
      <c r="J229" s="10">
        <v>678</v>
      </c>
      <c r="K229" s="22">
        <f t="shared" si="3"/>
        <v>2000.1000000000001</v>
      </c>
    </row>
    <row r="230" spans="2:19">
      <c r="B230" s="7">
        <v>10684</v>
      </c>
      <c r="C230" s="8">
        <v>44918</v>
      </c>
      <c r="D230" s="9" t="s">
        <v>15</v>
      </c>
      <c r="E230" s="7" t="s">
        <v>16</v>
      </c>
      <c r="F230" s="7" t="s">
        <v>28</v>
      </c>
      <c r="G230" s="9" t="s">
        <v>26</v>
      </c>
      <c r="H230" s="9" t="s">
        <v>17</v>
      </c>
      <c r="I230" s="24">
        <v>4.99</v>
      </c>
      <c r="J230" s="10">
        <v>201</v>
      </c>
      <c r="K230" s="22">
        <f t="shared" si="3"/>
        <v>1002.99</v>
      </c>
    </row>
    <row r="231" spans="2:19">
      <c r="B231" s="7">
        <v>10685</v>
      </c>
      <c r="C231" s="8">
        <v>44919</v>
      </c>
      <c r="D231" s="9" t="s">
        <v>18</v>
      </c>
      <c r="E231" s="7" t="s">
        <v>16</v>
      </c>
      <c r="F231" s="7" t="s">
        <v>28</v>
      </c>
      <c r="G231" s="9" t="s">
        <v>26</v>
      </c>
      <c r="H231" s="9" t="s">
        <v>17</v>
      </c>
      <c r="I231" s="24">
        <v>12.99</v>
      </c>
      <c r="J231" s="10">
        <v>678</v>
      </c>
      <c r="K231" s="22">
        <f t="shared" si="3"/>
        <v>8807.2199999999993</v>
      </c>
    </row>
    <row r="232" spans="2:19">
      <c r="B232" s="7">
        <v>10686</v>
      </c>
      <c r="C232" s="8">
        <v>44919</v>
      </c>
      <c r="D232" s="9" t="s">
        <v>22</v>
      </c>
      <c r="E232" s="7" t="s">
        <v>16</v>
      </c>
      <c r="F232" s="7" t="s">
        <v>28</v>
      </c>
      <c r="G232" s="9" t="s">
        <v>26</v>
      </c>
      <c r="H232" s="9" t="s">
        <v>17</v>
      </c>
      <c r="I232" s="24">
        <v>9.9499999999999993</v>
      </c>
      <c r="J232" s="10">
        <v>242</v>
      </c>
      <c r="K232" s="22">
        <f t="shared" si="3"/>
        <v>2407.8999999999996</v>
      </c>
    </row>
    <row r="233" spans="2:19">
      <c r="B233" s="7">
        <v>10687</v>
      </c>
      <c r="C233" s="8">
        <v>44919</v>
      </c>
      <c r="D233" s="9" t="s">
        <v>9</v>
      </c>
      <c r="E233" s="7" t="s">
        <v>16</v>
      </c>
      <c r="F233" s="7" t="s">
        <v>28</v>
      </c>
      <c r="G233" s="9" t="s">
        <v>20</v>
      </c>
      <c r="H233" s="9" t="s">
        <v>21</v>
      </c>
      <c r="I233" s="24">
        <v>3.49</v>
      </c>
      <c r="J233" s="10">
        <v>631</v>
      </c>
      <c r="K233" s="22">
        <f t="shared" si="3"/>
        <v>2202.19</v>
      </c>
    </row>
    <row r="234" spans="2:19">
      <c r="B234" s="7">
        <v>10688</v>
      </c>
      <c r="C234" s="8">
        <v>44919</v>
      </c>
      <c r="D234" s="9" t="s">
        <v>13</v>
      </c>
      <c r="E234" s="7" t="s">
        <v>16</v>
      </c>
      <c r="F234" s="7" t="s">
        <v>28</v>
      </c>
      <c r="G234" s="9" t="s">
        <v>20</v>
      </c>
      <c r="H234" s="9" t="s">
        <v>21</v>
      </c>
      <c r="I234" s="24">
        <v>2.95</v>
      </c>
      <c r="J234" s="10">
        <v>678</v>
      </c>
      <c r="K234" s="22">
        <f t="shared" si="3"/>
        <v>2000.1000000000001</v>
      </c>
    </row>
    <row r="235" spans="2:19">
      <c r="B235" s="7">
        <v>10689</v>
      </c>
      <c r="C235" s="8">
        <v>44919</v>
      </c>
      <c r="D235" s="9" t="s">
        <v>15</v>
      </c>
      <c r="E235" s="7" t="s">
        <v>16</v>
      </c>
      <c r="F235" s="7" t="s">
        <v>28</v>
      </c>
      <c r="G235" s="9" t="s">
        <v>20</v>
      </c>
      <c r="H235" s="9" t="s">
        <v>21</v>
      </c>
      <c r="I235" s="24">
        <v>4.99</v>
      </c>
      <c r="J235" s="10">
        <v>201</v>
      </c>
      <c r="K235" s="22">
        <f t="shared" si="3"/>
        <v>1002.99</v>
      </c>
    </row>
    <row r="236" spans="2:19">
      <c r="B236" s="7">
        <v>10690</v>
      </c>
      <c r="C236" s="8">
        <v>44920</v>
      </c>
      <c r="D236" s="9" t="s">
        <v>18</v>
      </c>
      <c r="E236" s="7" t="s">
        <v>16</v>
      </c>
      <c r="F236" s="7" t="s">
        <v>28</v>
      </c>
      <c r="G236" s="9" t="s">
        <v>20</v>
      </c>
      <c r="H236" s="9" t="s">
        <v>21</v>
      </c>
      <c r="I236" s="24">
        <v>12.99</v>
      </c>
      <c r="J236" s="10">
        <v>678</v>
      </c>
      <c r="K236" s="22">
        <f t="shared" si="3"/>
        <v>8807.2199999999993</v>
      </c>
    </row>
    <row r="237" spans="2:19">
      <c r="B237" s="7">
        <v>10691</v>
      </c>
      <c r="C237" s="8">
        <v>44920</v>
      </c>
      <c r="D237" s="9" t="s">
        <v>22</v>
      </c>
      <c r="E237" s="7" t="s">
        <v>16</v>
      </c>
      <c r="F237" s="7" t="s">
        <v>28</v>
      </c>
      <c r="G237" s="9" t="s">
        <v>20</v>
      </c>
      <c r="H237" s="9" t="s">
        <v>21</v>
      </c>
      <c r="I237" s="24">
        <v>9.9499999999999993</v>
      </c>
      <c r="J237" s="10">
        <v>262</v>
      </c>
      <c r="K237" s="22">
        <f t="shared" si="3"/>
        <v>2606.8999999999996</v>
      </c>
    </row>
    <row r="238" spans="2:19">
      <c r="B238" s="7">
        <v>10692</v>
      </c>
      <c r="C238" s="8">
        <v>44920</v>
      </c>
      <c r="D238" s="9" t="s">
        <v>9</v>
      </c>
      <c r="E238" s="7" t="s">
        <v>16</v>
      </c>
      <c r="F238" s="7" t="s">
        <v>28</v>
      </c>
      <c r="G238" s="9" t="s">
        <v>20</v>
      </c>
      <c r="H238" s="9" t="s">
        <v>21</v>
      </c>
      <c r="I238" s="24">
        <v>3.49</v>
      </c>
      <c r="J238" s="10">
        <v>631</v>
      </c>
      <c r="K238" s="22">
        <f t="shared" si="3"/>
        <v>2202.19</v>
      </c>
    </row>
    <row r="239" spans="2:19" ht="16.5" thickBot="1">
      <c r="B239" s="7">
        <v>10693</v>
      </c>
      <c r="C239" s="8">
        <v>44920</v>
      </c>
      <c r="D239" s="9" t="s">
        <v>13</v>
      </c>
      <c r="E239" s="7" t="s">
        <v>16</v>
      </c>
      <c r="F239" s="7" t="s">
        <v>28</v>
      </c>
      <c r="G239" s="9" t="s">
        <v>20</v>
      </c>
      <c r="H239" s="9" t="s">
        <v>21</v>
      </c>
      <c r="I239" s="24">
        <v>2.95</v>
      </c>
      <c r="J239" s="10">
        <v>678</v>
      </c>
      <c r="K239" s="22">
        <f t="shared" si="3"/>
        <v>2000.1000000000001</v>
      </c>
    </row>
    <row r="240" spans="2:19">
      <c r="B240" s="7">
        <v>10694</v>
      </c>
      <c r="C240" s="8">
        <v>44920</v>
      </c>
      <c r="D240" s="9" t="s">
        <v>15</v>
      </c>
      <c r="E240" s="7" t="s">
        <v>16</v>
      </c>
      <c r="F240" s="7" t="s">
        <v>28</v>
      </c>
      <c r="G240" s="9" t="s">
        <v>20</v>
      </c>
      <c r="H240" s="9" t="s">
        <v>21</v>
      </c>
      <c r="I240" s="24">
        <v>4.99</v>
      </c>
      <c r="J240" s="10">
        <v>201</v>
      </c>
      <c r="K240" s="22">
        <f t="shared" si="3"/>
        <v>1002.99</v>
      </c>
      <c r="O240" s="17" t="s">
        <v>34</v>
      </c>
      <c r="P240" s="17"/>
      <c r="R240" s="17" t="s">
        <v>34</v>
      </c>
      <c r="S240" s="17"/>
    </row>
    <row r="241" spans="2:19">
      <c r="B241" s="7">
        <v>10695</v>
      </c>
      <c r="C241" s="8">
        <v>44921</v>
      </c>
      <c r="D241" s="9" t="s">
        <v>18</v>
      </c>
      <c r="E241" s="7" t="s">
        <v>16</v>
      </c>
      <c r="F241" s="7" t="s">
        <v>28</v>
      </c>
      <c r="G241" s="9" t="s">
        <v>20</v>
      </c>
      <c r="H241" s="9" t="s">
        <v>21</v>
      </c>
      <c r="I241" s="24">
        <v>12.99</v>
      </c>
      <c r="J241" s="10">
        <v>693</v>
      </c>
      <c r="K241" s="22">
        <f t="shared" si="3"/>
        <v>9002.07</v>
      </c>
    </row>
    <row r="242" spans="2:19">
      <c r="B242" s="7">
        <v>10696</v>
      </c>
      <c r="C242" s="8">
        <v>44921</v>
      </c>
      <c r="D242" s="9" t="s">
        <v>22</v>
      </c>
      <c r="E242" s="7" t="s">
        <v>16</v>
      </c>
      <c r="F242" s="7" t="s">
        <v>28</v>
      </c>
      <c r="G242" s="9" t="s">
        <v>20</v>
      </c>
      <c r="H242" s="9" t="s">
        <v>21</v>
      </c>
      <c r="I242" s="24">
        <v>9.9499999999999993</v>
      </c>
      <c r="J242" s="10">
        <v>282</v>
      </c>
      <c r="K242" s="22">
        <f t="shared" si="3"/>
        <v>2805.8999999999996</v>
      </c>
      <c r="O242" t="s">
        <v>36</v>
      </c>
      <c r="P242">
        <v>3160.0588715953259</v>
      </c>
      <c r="R242" t="s">
        <v>36</v>
      </c>
      <c r="S242">
        <v>461.24124513618676</v>
      </c>
    </row>
    <row r="243" spans="2:19">
      <c r="B243" s="7">
        <v>10697</v>
      </c>
      <c r="C243" s="8">
        <v>44921</v>
      </c>
      <c r="D243" s="9" t="s">
        <v>9</v>
      </c>
      <c r="E243" s="7" t="s">
        <v>16</v>
      </c>
      <c r="F243" s="7" t="s">
        <v>28</v>
      </c>
      <c r="G243" s="9" t="s">
        <v>20</v>
      </c>
      <c r="H243" s="9" t="s">
        <v>21</v>
      </c>
      <c r="I243" s="24">
        <v>3.49</v>
      </c>
      <c r="J243" s="10">
        <v>631</v>
      </c>
      <c r="K243" s="22">
        <f t="shared" si="3"/>
        <v>2202.19</v>
      </c>
      <c r="O243" t="s">
        <v>37</v>
      </c>
      <c r="P243">
        <v>174.18697350086327</v>
      </c>
      <c r="R243" t="s">
        <v>37</v>
      </c>
      <c r="S243">
        <v>13.380974475434584</v>
      </c>
    </row>
    <row r="244" spans="2:19">
      <c r="B244" s="7">
        <v>10698</v>
      </c>
      <c r="C244" s="8">
        <v>44921</v>
      </c>
      <c r="D244" s="9" t="s">
        <v>13</v>
      </c>
      <c r="E244" s="7" t="s">
        <v>16</v>
      </c>
      <c r="F244" s="7" t="s">
        <v>28</v>
      </c>
      <c r="G244" s="9" t="s">
        <v>20</v>
      </c>
      <c r="H244" s="9" t="s">
        <v>21</v>
      </c>
      <c r="I244" s="24">
        <v>2.95</v>
      </c>
      <c r="J244" s="10">
        <v>678</v>
      </c>
      <c r="K244" s="22">
        <f t="shared" si="3"/>
        <v>2000.1000000000001</v>
      </c>
      <c r="O244" t="s">
        <v>38</v>
      </c>
      <c r="P244">
        <v>2200.7000000000003</v>
      </c>
      <c r="R244" t="s">
        <v>38</v>
      </c>
      <c r="S244">
        <v>539</v>
      </c>
    </row>
    <row r="245" spans="2:19">
      <c r="B245" s="7">
        <v>10699</v>
      </c>
      <c r="C245" s="8">
        <v>44921</v>
      </c>
      <c r="D245" s="9" t="s">
        <v>15</v>
      </c>
      <c r="E245" s="7" t="s">
        <v>16</v>
      </c>
      <c r="F245" s="7" t="s">
        <v>28</v>
      </c>
      <c r="G245" s="9" t="s">
        <v>20</v>
      </c>
      <c r="H245" s="9" t="s">
        <v>21</v>
      </c>
      <c r="I245" s="24">
        <v>4.99</v>
      </c>
      <c r="J245" s="10">
        <v>201</v>
      </c>
      <c r="K245" s="22">
        <f t="shared" si="3"/>
        <v>1002.99</v>
      </c>
      <c r="O245" t="s">
        <v>39</v>
      </c>
      <c r="P245">
        <v>1002.99</v>
      </c>
      <c r="R245" t="s">
        <v>39</v>
      </c>
      <c r="S245">
        <v>201</v>
      </c>
    </row>
    <row r="246" spans="2:19">
      <c r="B246" s="7">
        <v>10700</v>
      </c>
      <c r="C246" s="8">
        <v>44922</v>
      </c>
      <c r="D246" s="9" t="s">
        <v>18</v>
      </c>
      <c r="E246" s="7" t="s">
        <v>16</v>
      </c>
      <c r="F246" s="7" t="s">
        <v>28</v>
      </c>
      <c r="G246" s="9" t="s">
        <v>20</v>
      </c>
      <c r="H246" s="9" t="s">
        <v>21</v>
      </c>
      <c r="I246" s="24">
        <v>12.99</v>
      </c>
      <c r="J246" s="10">
        <v>693</v>
      </c>
      <c r="K246" s="22">
        <f t="shared" si="3"/>
        <v>9002.07</v>
      </c>
      <c r="O246" t="s">
        <v>40</v>
      </c>
      <c r="P246">
        <v>2792.4296135282166</v>
      </c>
      <c r="R246" t="s">
        <v>40</v>
      </c>
      <c r="S246">
        <v>214.5133395000031</v>
      </c>
    </row>
    <row r="247" spans="2:19">
      <c r="B247" s="7">
        <v>10701</v>
      </c>
      <c r="C247" s="8">
        <v>44922</v>
      </c>
      <c r="D247" s="9" t="s">
        <v>22</v>
      </c>
      <c r="E247" s="7" t="s">
        <v>16</v>
      </c>
      <c r="F247" s="7" t="s">
        <v>28</v>
      </c>
      <c r="G247" s="9" t="s">
        <v>20</v>
      </c>
      <c r="H247" s="9" t="s">
        <v>21</v>
      </c>
      <c r="I247" s="24">
        <v>9.9499999999999993</v>
      </c>
      <c r="J247" s="10">
        <v>282</v>
      </c>
      <c r="K247" s="22">
        <f t="shared" si="3"/>
        <v>2805.8999999999996</v>
      </c>
      <c r="O247" t="s">
        <v>41</v>
      </c>
      <c r="P247">
        <v>7797663.1465093438</v>
      </c>
      <c r="R247" t="s">
        <v>41</v>
      </c>
      <c r="S247">
        <v>46015.97282344359</v>
      </c>
    </row>
    <row r="248" spans="2:19">
      <c r="B248" s="7">
        <v>10702</v>
      </c>
      <c r="C248" s="8">
        <v>44922</v>
      </c>
      <c r="D248" s="9" t="s">
        <v>9</v>
      </c>
      <c r="E248" s="7" t="s">
        <v>16</v>
      </c>
      <c r="F248" s="7" t="s">
        <v>28</v>
      </c>
      <c r="G248" s="9" t="s">
        <v>20</v>
      </c>
      <c r="H248" s="9" t="s">
        <v>21</v>
      </c>
      <c r="I248" s="24">
        <v>3.49</v>
      </c>
      <c r="J248" s="10">
        <v>631</v>
      </c>
      <c r="K248" s="22">
        <f t="shared" si="3"/>
        <v>2202.19</v>
      </c>
      <c r="O248" t="s">
        <v>42</v>
      </c>
      <c r="P248">
        <v>10.622384900105656</v>
      </c>
      <c r="R248" t="s">
        <v>42</v>
      </c>
      <c r="S248">
        <v>-1.7242037395630254</v>
      </c>
    </row>
    <row r="249" spans="2:19">
      <c r="B249" s="7">
        <v>10703</v>
      </c>
      <c r="C249" s="8">
        <v>44922</v>
      </c>
      <c r="D249" s="9" t="s">
        <v>13</v>
      </c>
      <c r="E249" s="7" t="s">
        <v>16</v>
      </c>
      <c r="F249" s="7" t="s">
        <v>11</v>
      </c>
      <c r="G249" s="9" t="s">
        <v>20</v>
      </c>
      <c r="H249" s="9" t="s">
        <v>21</v>
      </c>
      <c r="I249" s="24">
        <v>2.95</v>
      </c>
      <c r="J249" s="10">
        <v>678</v>
      </c>
      <c r="K249" s="22">
        <f t="shared" si="3"/>
        <v>2000.1000000000001</v>
      </c>
      <c r="O249" t="s">
        <v>43</v>
      </c>
      <c r="P249">
        <v>2.6235831374166478</v>
      </c>
      <c r="R249" t="s">
        <v>43</v>
      </c>
      <c r="S249">
        <v>-0.21424989618873261</v>
      </c>
    </row>
    <row r="250" spans="2:19">
      <c r="B250" s="7">
        <v>10704</v>
      </c>
      <c r="C250" s="8">
        <v>44922</v>
      </c>
      <c r="D250" s="9" t="s">
        <v>15</v>
      </c>
      <c r="E250" s="7" t="s">
        <v>27</v>
      </c>
      <c r="F250" s="7" t="s">
        <v>11</v>
      </c>
      <c r="G250" s="9" t="s">
        <v>20</v>
      </c>
      <c r="H250" s="9" t="s">
        <v>21</v>
      </c>
      <c r="I250" s="24">
        <v>4.99</v>
      </c>
      <c r="J250" s="10">
        <v>201</v>
      </c>
      <c r="K250" s="22">
        <f t="shared" si="3"/>
        <v>1002.99</v>
      </c>
      <c r="O250" t="s">
        <v>44</v>
      </c>
      <c r="P250">
        <v>21520.17</v>
      </c>
      <c r="R250" t="s">
        <v>44</v>
      </c>
      <c r="S250">
        <v>554</v>
      </c>
    </row>
    <row r="251" spans="2:19">
      <c r="B251" s="7">
        <v>10705</v>
      </c>
      <c r="C251" s="8">
        <v>44923</v>
      </c>
      <c r="D251" s="9" t="s">
        <v>18</v>
      </c>
      <c r="E251" s="7" t="s">
        <v>27</v>
      </c>
      <c r="F251" s="7" t="s">
        <v>11</v>
      </c>
      <c r="G251" s="9" t="s">
        <v>20</v>
      </c>
      <c r="H251" s="9" t="s">
        <v>21</v>
      </c>
      <c r="I251" s="24">
        <v>12.99</v>
      </c>
      <c r="J251" s="10">
        <v>724</v>
      </c>
      <c r="K251" s="22">
        <f t="shared" si="3"/>
        <v>9404.76</v>
      </c>
      <c r="O251" t="s">
        <v>45</v>
      </c>
      <c r="P251">
        <v>1002.99</v>
      </c>
      <c r="R251" t="s">
        <v>45</v>
      </c>
      <c r="S251">
        <v>201</v>
      </c>
    </row>
    <row r="252" spans="2:19">
      <c r="B252" s="7">
        <v>10706</v>
      </c>
      <c r="C252" s="8">
        <v>44923</v>
      </c>
      <c r="D252" s="9" t="s">
        <v>22</v>
      </c>
      <c r="E252" s="7" t="s">
        <v>27</v>
      </c>
      <c r="F252" s="7" t="s">
        <v>11</v>
      </c>
      <c r="G252" s="9" t="s">
        <v>20</v>
      </c>
      <c r="H252" s="9" t="s">
        <v>21</v>
      </c>
      <c r="I252" s="24">
        <v>9.9499999999999993</v>
      </c>
      <c r="J252" s="10">
        <v>302</v>
      </c>
      <c r="K252" s="22">
        <f t="shared" si="3"/>
        <v>3004.8999999999996</v>
      </c>
      <c r="O252" t="s">
        <v>46</v>
      </c>
      <c r="P252">
        <v>22523.16</v>
      </c>
      <c r="R252" t="s">
        <v>46</v>
      </c>
      <c r="S252">
        <v>755</v>
      </c>
    </row>
    <row r="253" spans="2:19">
      <c r="B253" s="7">
        <v>10707</v>
      </c>
      <c r="C253" s="8">
        <v>44923</v>
      </c>
      <c r="D253" s="9" t="s">
        <v>9</v>
      </c>
      <c r="E253" s="7" t="s">
        <v>27</v>
      </c>
      <c r="F253" s="7" t="s">
        <v>11</v>
      </c>
      <c r="G253" s="9" t="s">
        <v>20</v>
      </c>
      <c r="H253" s="9" t="s">
        <v>21</v>
      </c>
      <c r="I253" s="24">
        <v>3.49</v>
      </c>
      <c r="J253" s="10">
        <v>631</v>
      </c>
      <c r="K253" s="22">
        <f t="shared" si="3"/>
        <v>2202.19</v>
      </c>
      <c r="O253" t="s">
        <v>47</v>
      </c>
      <c r="P253">
        <v>812135.12999999872</v>
      </c>
      <c r="R253" t="s">
        <v>47</v>
      </c>
      <c r="S253">
        <v>118539</v>
      </c>
    </row>
    <row r="254" spans="2:19" ht="16.5" thickBot="1">
      <c r="B254" s="7">
        <v>10708</v>
      </c>
      <c r="C254" s="8">
        <v>44923</v>
      </c>
      <c r="D254" s="9" t="s">
        <v>13</v>
      </c>
      <c r="E254" s="7" t="s">
        <v>27</v>
      </c>
      <c r="F254" s="7" t="s">
        <v>11</v>
      </c>
      <c r="G254" s="9" t="s">
        <v>20</v>
      </c>
      <c r="H254" s="9" t="s">
        <v>21</v>
      </c>
      <c r="I254" s="24">
        <v>2.95</v>
      </c>
      <c r="J254" s="10">
        <v>678</v>
      </c>
      <c r="K254" s="22">
        <f t="shared" si="3"/>
        <v>2000.1000000000001</v>
      </c>
      <c r="O254" s="16" t="s">
        <v>48</v>
      </c>
      <c r="P254" s="16">
        <v>257</v>
      </c>
      <c r="R254" s="16" t="s">
        <v>48</v>
      </c>
      <c r="S254" s="16">
        <v>257</v>
      </c>
    </row>
    <row r="255" spans="2:19">
      <c r="B255" s="7">
        <v>10709</v>
      </c>
      <c r="C255" s="8">
        <v>44923</v>
      </c>
      <c r="D255" s="9" t="s">
        <v>15</v>
      </c>
      <c r="E255" s="7" t="s">
        <v>27</v>
      </c>
      <c r="F255" s="7" t="s">
        <v>11</v>
      </c>
      <c r="G255" s="9" t="s">
        <v>20</v>
      </c>
      <c r="H255" s="9" t="s">
        <v>21</v>
      </c>
      <c r="I255" s="24">
        <v>4.99</v>
      </c>
      <c r="J255" s="10">
        <v>201</v>
      </c>
      <c r="K255" s="22">
        <f t="shared" si="3"/>
        <v>1002.99</v>
      </c>
    </row>
    <row r="256" spans="2:19">
      <c r="B256" s="7">
        <v>10710</v>
      </c>
      <c r="C256" s="8">
        <v>44924</v>
      </c>
      <c r="D256" s="9" t="s">
        <v>18</v>
      </c>
      <c r="E256" s="7" t="s">
        <v>27</v>
      </c>
      <c r="F256" s="7" t="s">
        <v>11</v>
      </c>
      <c r="G256" s="9" t="s">
        <v>20</v>
      </c>
      <c r="H256" s="9" t="s">
        <v>21</v>
      </c>
      <c r="I256" s="24">
        <v>12.99</v>
      </c>
      <c r="J256" s="10">
        <v>755</v>
      </c>
      <c r="K256" s="22">
        <f t="shared" si="3"/>
        <v>9807.4500000000007</v>
      </c>
    </row>
    <row r="257" spans="2:11">
      <c r="B257" s="7">
        <v>10711</v>
      </c>
      <c r="C257" s="8">
        <v>44924</v>
      </c>
      <c r="D257" s="9" t="s">
        <v>22</v>
      </c>
      <c r="E257" s="7" t="s">
        <v>27</v>
      </c>
      <c r="F257" s="7" t="s">
        <v>11</v>
      </c>
      <c r="G257" s="9" t="s">
        <v>20</v>
      </c>
      <c r="H257" s="9" t="s">
        <v>21</v>
      </c>
      <c r="I257" s="24">
        <v>9.9499999999999993</v>
      </c>
      <c r="J257" s="10">
        <v>282</v>
      </c>
      <c r="K257" s="22">
        <f t="shared" si="3"/>
        <v>2805.8999999999996</v>
      </c>
    </row>
    <row r="258" spans="2:11">
      <c r="B258" s="7">
        <v>10712</v>
      </c>
      <c r="C258" s="8">
        <v>44924</v>
      </c>
      <c r="D258" s="9" t="s">
        <v>9</v>
      </c>
      <c r="E258" s="7" t="s">
        <v>27</v>
      </c>
      <c r="F258" s="7" t="s">
        <v>11</v>
      </c>
      <c r="G258" s="9" t="s">
        <v>20</v>
      </c>
      <c r="H258" s="9" t="s">
        <v>21</v>
      </c>
      <c r="I258" s="24">
        <v>3.49</v>
      </c>
      <c r="J258" s="10">
        <v>631</v>
      </c>
      <c r="K258" s="22">
        <f t="shared" si="3"/>
        <v>2202.19</v>
      </c>
    </row>
    <row r="259" spans="2:11">
      <c r="B259" s="7">
        <v>10713</v>
      </c>
      <c r="C259" s="8">
        <v>44924</v>
      </c>
      <c r="D259" s="9" t="s">
        <v>13</v>
      </c>
      <c r="E259" s="7" t="s">
        <v>27</v>
      </c>
      <c r="F259" s="7" t="s">
        <v>11</v>
      </c>
      <c r="G259" s="9" t="s">
        <v>20</v>
      </c>
      <c r="H259" s="9" t="s">
        <v>21</v>
      </c>
      <c r="I259" s="25">
        <v>2.95</v>
      </c>
      <c r="J259" s="12">
        <v>678</v>
      </c>
      <c r="K259" s="23">
        <f t="shared" si="3"/>
        <v>2000.1000000000001</v>
      </c>
    </row>
    <row r="260" spans="2:11">
      <c r="B260" s="9"/>
      <c r="C260" s="9"/>
      <c r="D260" s="9"/>
      <c r="E260" s="9"/>
      <c r="F260" s="9"/>
      <c r="G260" s="9"/>
      <c r="H260" s="9"/>
      <c r="I260" s="14"/>
      <c r="J260" s="14"/>
    </row>
  </sheetData>
  <pageMargins left="0.7" right="0.7" top="0.75" bottom="0.75" header="0.3" footer="0.3"/>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L84"/>
  <sheetViews>
    <sheetView showGridLines="0" topLeftCell="A43" workbookViewId="0">
      <selection activeCell="Q19" sqref="Q19"/>
    </sheetView>
  </sheetViews>
  <sheetFormatPr defaultColWidth="10.625" defaultRowHeight="15.75"/>
  <cols>
    <col min="1" max="1" width="4.125" customWidth="1"/>
    <col min="9" max="9" width="12.375" bestFit="1" customWidth="1"/>
    <col min="10" max="11" width="19.5" bestFit="1" customWidth="1"/>
    <col min="12" max="12" width="10.875" bestFit="1" customWidth="1"/>
  </cols>
  <sheetData>
    <row r="2" spans="2:12">
      <c r="B2" s="1" t="s">
        <v>30</v>
      </c>
      <c r="C2" s="1"/>
      <c r="D2" s="1"/>
      <c r="E2" s="1"/>
      <c r="F2" s="1"/>
    </row>
    <row r="3" spans="2:12">
      <c r="I3" s="18" t="s">
        <v>49</v>
      </c>
      <c r="J3" t="s">
        <v>51</v>
      </c>
    </row>
    <row r="4" spans="2:12">
      <c r="B4" s="2" t="s">
        <v>31</v>
      </c>
      <c r="C4" s="3"/>
      <c r="D4" s="3"/>
      <c r="E4" s="3"/>
      <c r="F4" s="3"/>
      <c r="I4" s="19" t="s">
        <v>13</v>
      </c>
      <c r="J4" s="20">
        <v>35666</v>
      </c>
      <c r="K4" t="str">
        <f>I4</f>
        <v>Beverages</v>
      </c>
      <c r="L4">
        <f>J4</f>
        <v>35666</v>
      </c>
    </row>
    <row r="5" spans="2:12">
      <c r="B5" s="4"/>
      <c r="C5" s="5"/>
      <c r="D5" s="5"/>
      <c r="E5" s="5"/>
      <c r="F5" s="5"/>
      <c r="I5" s="19" t="s">
        <v>9</v>
      </c>
      <c r="J5" s="20">
        <v>32067</v>
      </c>
      <c r="K5" t="str">
        <f t="shared" ref="K5:L8" si="0">I5</f>
        <v>Fries</v>
      </c>
      <c r="L5">
        <f t="shared" si="0"/>
        <v>32067</v>
      </c>
    </row>
    <row r="6" spans="2:12">
      <c r="B6" s="2" t="s">
        <v>32</v>
      </c>
      <c r="C6" s="3"/>
      <c r="D6" s="3"/>
      <c r="E6" s="3"/>
      <c r="F6" s="3"/>
      <c r="I6" s="19" t="s">
        <v>18</v>
      </c>
      <c r="J6" s="20">
        <v>29572</v>
      </c>
      <c r="K6" t="str">
        <f t="shared" si="0"/>
        <v>Burgers</v>
      </c>
      <c r="L6">
        <f t="shared" si="0"/>
        <v>29572</v>
      </c>
    </row>
    <row r="7" spans="2:12">
      <c r="B7" s="4"/>
      <c r="C7" s="5"/>
      <c r="D7" s="5"/>
      <c r="E7" s="5"/>
      <c r="F7" s="5"/>
      <c r="I7" s="19" t="s">
        <v>22</v>
      </c>
      <c r="J7" s="20">
        <v>11184</v>
      </c>
      <c r="K7" t="str">
        <f t="shared" si="0"/>
        <v>Chicken Sandwiches</v>
      </c>
      <c r="L7">
        <f t="shared" si="0"/>
        <v>11184</v>
      </c>
    </row>
    <row r="8" spans="2:12">
      <c r="B8" s="2" t="s">
        <v>33</v>
      </c>
      <c r="C8" s="3"/>
      <c r="D8" s="3"/>
      <c r="E8" s="3"/>
      <c r="F8" s="3"/>
      <c r="I8" s="19" t="s">
        <v>15</v>
      </c>
      <c r="J8" s="20">
        <v>10050</v>
      </c>
      <c r="K8" t="str">
        <f t="shared" si="0"/>
        <v>Sides &amp; Other</v>
      </c>
      <c r="L8">
        <f t="shared" si="0"/>
        <v>10050</v>
      </c>
    </row>
    <row r="9" spans="2:12">
      <c r="I9" s="19" t="s">
        <v>50</v>
      </c>
      <c r="J9" s="20">
        <v>118539</v>
      </c>
    </row>
    <row r="10" spans="2:12">
      <c r="B10" s="21" t="s">
        <v>53</v>
      </c>
    </row>
    <row r="12" spans="2:12">
      <c r="I12" t="s">
        <v>52</v>
      </c>
    </row>
    <row r="13" spans="2:12">
      <c r="I13" s="27">
        <v>812135.12999999872</v>
      </c>
    </row>
    <row r="15" spans="2:12">
      <c r="I15" s="18" t="s">
        <v>49</v>
      </c>
      <c r="J15" t="s">
        <v>52</v>
      </c>
    </row>
    <row r="16" spans="2:12">
      <c r="I16" s="19" t="s">
        <v>28</v>
      </c>
      <c r="J16" s="27">
        <v>239494.15</v>
      </c>
      <c r="K16" t="str">
        <f>I16</f>
        <v xml:space="preserve"> Cash</v>
      </c>
      <c r="L16" s="27">
        <f>J16</f>
        <v>239494.15</v>
      </c>
    </row>
    <row r="17" spans="9:12">
      <c r="I17" s="19" t="s">
        <v>19</v>
      </c>
      <c r="J17" s="27">
        <v>403812.85000000003</v>
      </c>
      <c r="K17" t="str">
        <f t="shared" ref="K17:L18" si="1">I17</f>
        <v xml:space="preserve"> Credit Card</v>
      </c>
      <c r="L17" s="27">
        <f t="shared" si="1"/>
        <v>403812.85000000003</v>
      </c>
    </row>
    <row r="18" spans="9:12">
      <c r="I18" s="19" t="s">
        <v>11</v>
      </c>
      <c r="J18" s="27">
        <v>168828.13000000003</v>
      </c>
      <c r="K18" t="str">
        <f t="shared" si="1"/>
        <v xml:space="preserve"> Gift Card</v>
      </c>
      <c r="L18" s="27">
        <f t="shared" si="1"/>
        <v>168828.13000000003</v>
      </c>
    </row>
    <row r="19" spans="9:12">
      <c r="I19" s="19" t="s">
        <v>50</v>
      </c>
      <c r="J19" s="27">
        <v>812135.13</v>
      </c>
    </row>
    <row r="21" spans="9:12">
      <c r="I21" s="18" t="s">
        <v>49</v>
      </c>
      <c r="J21" t="s">
        <v>52</v>
      </c>
    </row>
    <row r="22" spans="9:12">
      <c r="I22" s="19" t="s">
        <v>13</v>
      </c>
      <c r="J22" s="27">
        <v>125737.76000000007</v>
      </c>
      <c r="K22" t="str">
        <f>I22</f>
        <v>Beverages</v>
      </c>
      <c r="L22" s="27">
        <f>J22</f>
        <v>125737.76000000007</v>
      </c>
    </row>
    <row r="23" spans="9:12">
      <c r="I23" s="19" t="s">
        <v>18</v>
      </c>
      <c r="J23" s="27">
        <v>392000.27999999997</v>
      </c>
      <c r="K23" t="str">
        <f t="shared" ref="K23:L26" si="2">I23</f>
        <v>Burgers</v>
      </c>
      <c r="L23" s="27">
        <f t="shared" si="2"/>
        <v>392000.27999999997</v>
      </c>
    </row>
    <row r="24" spans="9:12">
      <c r="I24" s="19" t="s">
        <v>22</v>
      </c>
      <c r="J24" s="27">
        <v>115138.99999999991</v>
      </c>
      <c r="K24" t="str">
        <f t="shared" si="2"/>
        <v>Chicken Sandwiches</v>
      </c>
      <c r="L24" s="27">
        <f t="shared" si="2"/>
        <v>115138.99999999991</v>
      </c>
    </row>
    <row r="25" spans="9:12">
      <c r="I25" s="19" t="s">
        <v>9</v>
      </c>
      <c r="J25" s="27">
        <v>125802.14000000007</v>
      </c>
      <c r="K25" t="str">
        <f t="shared" si="2"/>
        <v>Fries</v>
      </c>
      <c r="L25" s="27">
        <f t="shared" si="2"/>
        <v>125802.14000000007</v>
      </c>
    </row>
    <row r="26" spans="9:12">
      <c r="I26" s="19" t="s">
        <v>15</v>
      </c>
      <c r="J26" s="27">
        <v>53455.949999999983</v>
      </c>
      <c r="K26" t="str">
        <f t="shared" si="2"/>
        <v>Sides &amp; Other</v>
      </c>
      <c r="L26" s="27">
        <f t="shared" si="2"/>
        <v>53455.949999999983</v>
      </c>
    </row>
    <row r="27" spans="9:12">
      <c r="I27" s="19" t="s">
        <v>50</v>
      </c>
      <c r="J27" s="27">
        <v>812135.12999999989</v>
      </c>
    </row>
    <row r="29" spans="9:12">
      <c r="I29" s="18" t="s">
        <v>49</v>
      </c>
      <c r="J29" t="s">
        <v>52</v>
      </c>
    </row>
    <row r="30" spans="9:12">
      <c r="I30" s="19" t="s">
        <v>21</v>
      </c>
      <c r="J30" s="27">
        <v>100698.95000000001</v>
      </c>
      <c r="K30" t="str">
        <f>Analysis!I30</f>
        <v>Berlin</v>
      </c>
      <c r="L30" s="27">
        <f>Analysis!J30</f>
        <v>100698.95000000001</v>
      </c>
    </row>
    <row r="31" spans="9:12">
      <c r="I31" s="19" t="s">
        <v>17</v>
      </c>
      <c r="J31" s="27">
        <v>283555.36</v>
      </c>
      <c r="K31" t="str">
        <f>Analysis!I31</f>
        <v>Lisbon</v>
      </c>
      <c r="L31" s="27">
        <f>Analysis!J31</f>
        <v>283555.36</v>
      </c>
    </row>
    <row r="32" spans="9:12">
      <c r="I32" s="19" t="s">
        <v>12</v>
      </c>
      <c r="J32" s="27">
        <v>211522.87999999995</v>
      </c>
      <c r="K32" t="str">
        <f>Analysis!I32</f>
        <v>London</v>
      </c>
      <c r="L32" s="27">
        <f>Analysis!J32</f>
        <v>211522.87999999995</v>
      </c>
    </row>
    <row r="33" spans="9:12">
      <c r="I33" s="19" t="s">
        <v>14</v>
      </c>
      <c r="J33" s="27">
        <v>136430.04000000004</v>
      </c>
      <c r="K33" t="str">
        <f>Analysis!I33</f>
        <v>Madrid</v>
      </c>
      <c r="L33" s="27">
        <f>Analysis!J33</f>
        <v>136430.04000000004</v>
      </c>
    </row>
    <row r="34" spans="9:12">
      <c r="I34" s="19" t="s">
        <v>23</v>
      </c>
      <c r="J34" s="27">
        <v>79927.900000000009</v>
      </c>
      <c r="K34" t="str">
        <f>Analysis!I34</f>
        <v>Paris</v>
      </c>
      <c r="L34" s="27">
        <f>Analysis!J34</f>
        <v>79927.900000000009</v>
      </c>
    </row>
    <row r="35" spans="9:12">
      <c r="I35" s="19" t="s">
        <v>50</v>
      </c>
      <c r="J35" s="27">
        <v>812135.13</v>
      </c>
    </row>
    <row r="37" spans="9:12">
      <c r="I37" s="18" t="s">
        <v>49</v>
      </c>
      <c r="J37" t="s">
        <v>52</v>
      </c>
    </row>
    <row r="38" spans="9:12">
      <c r="I38" s="19" t="s">
        <v>26</v>
      </c>
      <c r="J38" s="27">
        <v>283555.36</v>
      </c>
      <c r="K38" t="str">
        <f>I38</f>
        <v>Joao Silva</v>
      </c>
      <c r="L38" s="27">
        <f>J38</f>
        <v>283555.36</v>
      </c>
    </row>
    <row r="39" spans="9:12">
      <c r="I39" s="19" t="s">
        <v>25</v>
      </c>
      <c r="J39" s="27">
        <v>136430.04000000004</v>
      </c>
      <c r="K39" t="str">
        <f t="shared" ref="K39:L42" si="3">I39</f>
        <v>Pablo Perez</v>
      </c>
      <c r="L39" s="27">
        <f t="shared" si="3"/>
        <v>136430.04000000004</v>
      </c>
    </row>
    <row r="40" spans="9:12">
      <c r="I40" s="19" t="s">
        <v>24</v>
      </c>
      <c r="J40" s="27">
        <v>79927.900000000009</v>
      </c>
      <c r="K40" t="str">
        <f t="shared" si="3"/>
        <v>Remy Monet</v>
      </c>
      <c r="L40" s="27">
        <f t="shared" si="3"/>
        <v>79927.900000000009</v>
      </c>
    </row>
    <row r="41" spans="9:12">
      <c r="I41" s="19" t="s">
        <v>29</v>
      </c>
      <c r="J41" s="27">
        <v>211522.87999999995</v>
      </c>
      <c r="K41" t="str">
        <f t="shared" si="3"/>
        <v>Tom Jackson</v>
      </c>
      <c r="L41" s="27">
        <f t="shared" si="3"/>
        <v>211522.87999999995</v>
      </c>
    </row>
    <row r="42" spans="9:12">
      <c r="I42" s="19" t="s">
        <v>20</v>
      </c>
      <c r="J42" s="27">
        <v>100698.95000000001</v>
      </c>
      <c r="K42" t="str">
        <f t="shared" si="3"/>
        <v>Walter Muller</v>
      </c>
      <c r="L42" s="27">
        <f t="shared" si="3"/>
        <v>100698.95000000001</v>
      </c>
    </row>
    <row r="43" spans="9:12">
      <c r="I43" s="19" t="s">
        <v>50</v>
      </c>
      <c r="J43" s="27">
        <v>812135.12999999989</v>
      </c>
    </row>
    <row r="45" spans="9:12">
      <c r="I45" s="18" t="s">
        <v>49</v>
      </c>
      <c r="J45" t="s">
        <v>51</v>
      </c>
    </row>
    <row r="46" spans="9:12">
      <c r="I46" s="19" t="s">
        <v>21</v>
      </c>
      <c r="J46" s="20">
        <v>14785</v>
      </c>
      <c r="K46" t="str">
        <f>I46</f>
        <v>Berlin</v>
      </c>
      <c r="L46">
        <f>J46</f>
        <v>14785</v>
      </c>
    </row>
    <row r="47" spans="9:12">
      <c r="I47" s="19" t="s">
        <v>17</v>
      </c>
      <c r="J47" s="20">
        <v>37196</v>
      </c>
      <c r="K47" t="str">
        <f t="shared" ref="K47:K50" si="4">I47</f>
        <v>Lisbon</v>
      </c>
      <c r="L47">
        <f t="shared" ref="L47:L50" si="5">J47</f>
        <v>37196</v>
      </c>
    </row>
    <row r="48" spans="9:12">
      <c r="I48" s="19" t="s">
        <v>12</v>
      </c>
      <c r="J48" s="20">
        <v>33578</v>
      </c>
      <c r="K48" t="str">
        <f t="shared" si="4"/>
        <v>London</v>
      </c>
      <c r="L48">
        <f t="shared" si="5"/>
        <v>33578</v>
      </c>
    </row>
    <row r="49" spans="9:12">
      <c r="I49" s="19" t="s">
        <v>14</v>
      </c>
      <c r="J49" s="20">
        <v>20472</v>
      </c>
      <c r="K49" t="str">
        <f t="shared" si="4"/>
        <v>Madrid</v>
      </c>
      <c r="L49">
        <f t="shared" si="5"/>
        <v>20472</v>
      </c>
    </row>
    <row r="50" spans="9:12">
      <c r="I50" s="19" t="s">
        <v>23</v>
      </c>
      <c r="J50" s="20">
        <v>12508</v>
      </c>
      <c r="K50" t="str">
        <f t="shared" si="4"/>
        <v>Paris</v>
      </c>
      <c r="L50">
        <f t="shared" si="5"/>
        <v>12508</v>
      </c>
    </row>
    <row r="51" spans="9:12">
      <c r="I51" s="19" t="s">
        <v>50</v>
      </c>
      <c r="J51" s="20">
        <v>118539</v>
      </c>
    </row>
    <row r="54" spans="9:12">
      <c r="I54" s="18" t="s">
        <v>49</v>
      </c>
      <c r="J54" t="s">
        <v>51</v>
      </c>
    </row>
    <row r="55" spans="9:12">
      <c r="I55" s="19" t="s">
        <v>27</v>
      </c>
      <c r="J55" s="20">
        <v>27799</v>
      </c>
      <c r="K55" t="str">
        <f>I55</f>
        <v xml:space="preserve">Drive-thru </v>
      </c>
      <c r="L55">
        <f>J55</f>
        <v>27799</v>
      </c>
    </row>
    <row r="56" spans="9:12">
      <c r="I56" s="19" t="s">
        <v>16</v>
      </c>
      <c r="J56" s="20">
        <v>41682</v>
      </c>
      <c r="K56" t="str">
        <f t="shared" ref="K56:L57" si="6">I56</f>
        <v xml:space="preserve">In-store </v>
      </c>
      <c r="L56">
        <f t="shared" si="6"/>
        <v>41682</v>
      </c>
    </row>
    <row r="57" spans="9:12">
      <c r="I57" s="19" t="s">
        <v>10</v>
      </c>
      <c r="J57" s="20">
        <v>49058</v>
      </c>
      <c r="K57" t="str">
        <f t="shared" si="6"/>
        <v xml:space="preserve">Online </v>
      </c>
      <c r="L57">
        <f t="shared" si="6"/>
        <v>49058</v>
      </c>
    </row>
    <row r="58" spans="9:12">
      <c r="I58" s="19" t="s">
        <v>50</v>
      </c>
      <c r="J58" s="20">
        <v>118539</v>
      </c>
    </row>
    <row r="60" spans="9:12">
      <c r="I60" s="18" t="s">
        <v>49</v>
      </c>
      <c r="J60" t="s">
        <v>52</v>
      </c>
    </row>
    <row r="61" spans="9:12">
      <c r="I61" s="19" t="s">
        <v>27</v>
      </c>
      <c r="J61" s="27">
        <v>178854.01</v>
      </c>
      <c r="K61" t="str">
        <f>I61</f>
        <v xml:space="preserve">Drive-thru </v>
      </c>
      <c r="L61" s="27">
        <f>J61</f>
        <v>178854.01</v>
      </c>
    </row>
    <row r="62" spans="9:12">
      <c r="I62" s="19" t="s">
        <v>16</v>
      </c>
      <c r="J62" s="27">
        <v>327634.33999999997</v>
      </c>
      <c r="K62" t="str">
        <f t="shared" ref="K62:L63" si="7">I62</f>
        <v xml:space="preserve">In-store </v>
      </c>
      <c r="L62" s="27">
        <f t="shared" si="7"/>
        <v>327634.33999999997</v>
      </c>
    </row>
    <row r="63" spans="9:12">
      <c r="I63" s="19" t="s">
        <v>10</v>
      </c>
      <c r="J63" s="27">
        <v>305646.77999999997</v>
      </c>
      <c r="K63" t="str">
        <f t="shared" si="7"/>
        <v xml:space="preserve">Online </v>
      </c>
      <c r="L63" s="27">
        <f t="shared" si="7"/>
        <v>305646.77999999997</v>
      </c>
    </row>
    <row r="64" spans="9:12">
      <c r="I64" s="19" t="s">
        <v>50</v>
      </c>
      <c r="J64">
        <v>812135.12999999989</v>
      </c>
    </row>
    <row r="67" spans="9:12">
      <c r="I67" s="28"/>
      <c r="J67" s="29"/>
      <c r="K67" s="30"/>
    </row>
    <row r="68" spans="9:12">
      <c r="I68" s="31"/>
      <c r="J68" s="32"/>
      <c r="K68" s="33"/>
      <c r="L68" s="27">
        <f>J68</f>
        <v>0</v>
      </c>
    </row>
    <row r="69" spans="9:12">
      <c r="I69" s="31"/>
      <c r="J69" s="32"/>
      <c r="K69" s="33"/>
      <c r="L69" s="27">
        <f t="shared" ref="L69:L70" si="8">J69</f>
        <v>0</v>
      </c>
    </row>
    <row r="70" spans="9:12">
      <c r="I70" s="31"/>
      <c r="J70" s="32"/>
      <c r="K70" s="33"/>
      <c r="L70" s="27">
        <f t="shared" si="8"/>
        <v>0</v>
      </c>
    </row>
    <row r="71" spans="9:12">
      <c r="I71" s="31"/>
      <c r="J71" s="32"/>
      <c r="K71" s="33"/>
    </row>
    <row r="72" spans="9:12">
      <c r="I72" s="31"/>
      <c r="J72" s="32"/>
      <c r="K72" s="33"/>
    </row>
    <row r="73" spans="9:12">
      <c r="I73" s="31"/>
      <c r="J73" s="32"/>
      <c r="K73" s="33"/>
    </row>
    <row r="74" spans="9:12">
      <c r="I74" s="31"/>
      <c r="J74" s="32"/>
      <c r="K74" s="33"/>
    </row>
    <row r="75" spans="9:12">
      <c r="I75" s="31"/>
      <c r="J75" s="32"/>
      <c r="K75" s="33"/>
    </row>
    <row r="76" spans="9:12">
      <c r="I76" s="31"/>
      <c r="J76" s="32"/>
      <c r="K76" s="33"/>
    </row>
    <row r="77" spans="9:12">
      <c r="I77" s="31"/>
      <c r="J77" s="32"/>
      <c r="K77" s="33"/>
    </row>
    <row r="78" spans="9:12">
      <c r="I78" s="31"/>
      <c r="J78" s="32"/>
      <c r="K78" s="33"/>
    </row>
    <row r="79" spans="9:12">
      <c r="I79" s="31"/>
      <c r="J79" s="32"/>
      <c r="K79" s="33"/>
    </row>
    <row r="80" spans="9:12">
      <c r="I80" s="31"/>
      <c r="J80" s="32"/>
      <c r="K80" s="33"/>
    </row>
    <row r="81" spans="9:11">
      <c r="I81" s="31"/>
      <c r="J81" s="32"/>
      <c r="K81" s="33"/>
    </row>
    <row r="82" spans="9:11">
      <c r="I82" s="31"/>
      <c r="J82" s="32"/>
      <c r="K82" s="33"/>
    </row>
    <row r="83" spans="9:11">
      <c r="I83" s="31"/>
      <c r="J83" s="32"/>
      <c r="K83" s="33"/>
    </row>
    <row r="84" spans="9:11">
      <c r="I84" s="34"/>
      <c r="J84" s="35"/>
      <c r="K84" s="36"/>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45E4F-8D27-4585-BF9B-5D7201E430BC}">
  <dimension ref="F1"/>
  <sheetViews>
    <sheetView tabSelected="1" zoomScale="79" zoomScaleNormal="79" workbookViewId="0">
      <selection activeCell="G6" sqref="G6"/>
    </sheetView>
  </sheetViews>
  <sheetFormatPr defaultRowHeight="15.75"/>
  <cols>
    <col min="1" max="4" width="9" style="26"/>
    <col min="5" max="5" width="8.375" style="26" customWidth="1"/>
    <col min="6" max="6" width="9" style="26" hidden="1" customWidth="1"/>
    <col min="7" max="16384" width="9"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vanger pius</cp:lastModifiedBy>
  <dcterms:created xsi:type="dcterms:W3CDTF">2023-02-14T11:15:00Z</dcterms:created>
  <dcterms:modified xsi:type="dcterms:W3CDTF">2026-04-29T15:46:24Z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22EAFCFD58844A69974ACE343C21ACC7_12</vt:lpwstr>
  </property>
  <property fmtid="{D5CDD505-2E9C-101B-9397-08002B2CF9AE}" pid="3" name="KSOProductBuildVer">
    <vt:lpwstr>1033-12.1.0.25242</vt:lpwstr>
  </property>
  <property fmtid="{D5CDD505-2E9C-101B-9397-08002B2CF9AE}" pid="4" name="CalculationRule">
    <vt:i4>0</vt:i4>
  </property>
</Properties>
</file>